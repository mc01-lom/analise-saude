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330" windowWidth="29040" windowHeight="15990" tabRatio="600" firstSheet="0" activeTab="0" autoFilterDateGrouping="1"/>
  </bookViews>
  <sheets>
    <sheet name="Plan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1F4E79"/>
      <sz val="10"/>
    </font>
  </fonts>
  <fills count="8">
    <fill>
      <patternFill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9" fontId="0" fillId="0" borderId="0" pivotButton="0" quotePrefix="0" xfId="0"/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vertical="center"/>
    </xf>
    <xf numFmtId="17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1" fillId="7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Y192"/>
  <sheetViews>
    <sheetView tabSelected="1" workbookViewId="0">
      <selection activeCell="A1" sqref="A1"/>
    </sheetView>
  </sheetViews>
  <sheetFormatPr baseColWidth="8" defaultRowHeight="15"/>
  <cols>
    <col width="39.42578125" customWidth="1" min="2" max="2"/>
    <col width="39.42578125" customWidth="1" min="18" max="18"/>
    <col width="39.42578125" customWidth="1" min="33" max="33"/>
    <col width="39.42578125" customWidth="1" min="49" max="49"/>
    <col width="39.42578125" customWidth="1" min="64" max="64"/>
    <col width="39.42578125" customWidth="1" min="80" max="80"/>
    <col width="39.42578125" customWidth="1" min="95" max="95"/>
    <col width="39.42578125" customWidth="1" min="111" max="111"/>
    <col width="39.42578125" customWidth="1" min="126" max="126"/>
    <col width="39.42578125" customWidth="1" min="142" max="142"/>
  </cols>
  <sheetData>
    <row r="2">
      <c r="B2" s="6" t="inlineStr">
        <is>
          <t>BUPJ</t>
        </is>
      </c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G2" s="7" t="inlineStr">
        <is>
          <t>Almaviva</t>
        </is>
      </c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  <c r="BB2" s="7" t="n"/>
      <c r="BC2" s="7" t="n"/>
      <c r="BD2" s="7" t="n"/>
      <c r="BE2" s="7" t="n"/>
      <c r="BF2" s="7" t="n"/>
      <c r="BG2" s="7" t="n"/>
      <c r="BH2" s="7" t="n"/>
      <c r="BI2" s="7" t="n"/>
      <c r="BJ2" s="7" t="n"/>
      <c r="BL2" s="8" t="inlineStr">
        <is>
          <t>Bellinati</t>
        </is>
      </c>
      <c r="BM2" s="8" t="n"/>
      <c r="BN2" s="8" t="n"/>
      <c r="BO2" s="8" t="n"/>
      <c r="BP2" s="8" t="n"/>
      <c r="BQ2" s="8" t="n"/>
      <c r="BR2" s="8" t="n"/>
      <c r="BS2" s="8" t="n"/>
      <c r="BT2" s="8" t="n"/>
      <c r="BU2" s="8" t="n"/>
      <c r="BV2" s="8" t="n"/>
      <c r="BW2" s="8" t="n"/>
      <c r="BX2" s="8" t="n"/>
      <c r="BY2" s="8" t="n"/>
      <c r="BZ2" s="8" t="n"/>
      <c r="CA2" s="8" t="n"/>
      <c r="CB2" s="8" t="n"/>
      <c r="CC2" s="8" t="n"/>
      <c r="CD2" s="8" t="n"/>
      <c r="CE2" s="8" t="n"/>
      <c r="CF2" s="8" t="n"/>
      <c r="CG2" s="8" t="n"/>
      <c r="CH2" s="8" t="n"/>
      <c r="CI2" s="8" t="n"/>
      <c r="CJ2" s="8" t="n"/>
      <c r="CK2" s="8" t="n"/>
      <c r="CL2" s="8" t="n"/>
      <c r="CM2" s="8" t="n"/>
      <c r="CN2" s="8" t="n"/>
      <c r="CO2" s="8" t="n"/>
      <c r="CQ2" s="9" t="inlineStr">
        <is>
          <t>JA Rezende</t>
        </is>
      </c>
      <c r="CR2" s="9" t="n"/>
      <c r="CS2" s="9" t="n"/>
      <c r="CT2" s="9" t="n"/>
      <c r="CU2" s="9" t="n"/>
      <c r="CV2" s="9" t="n"/>
      <c r="CW2" s="9" t="n"/>
      <c r="CX2" s="9" t="n"/>
      <c r="CY2" s="9" t="n"/>
      <c r="CZ2" s="9" t="n"/>
      <c r="DA2" s="9" t="n"/>
      <c r="DB2" s="9" t="n"/>
      <c r="DC2" s="9" t="n"/>
      <c r="DD2" s="9" t="n"/>
      <c r="DE2" s="9" t="n"/>
      <c r="DF2" s="9" t="n"/>
      <c r="DG2" s="9" t="n"/>
      <c r="DH2" s="9" t="n"/>
      <c r="DI2" s="9" t="n"/>
      <c r="DJ2" s="9" t="n"/>
      <c r="DK2" s="9" t="n"/>
      <c r="DL2" s="9" t="n"/>
      <c r="DM2" s="9" t="n"/>
      <c r="DN2" s="9" t="n"/>
      <c r="DO2" s="9" t="n"/>
      <c r="DP2" s="9" t="n"/>
      <c r="DQ2" s="9" t="n"/>
      <c r="DR2" s="9" t="n"/>
      <c r="DS2" s="9" t="n"/>
      <c r="DT2" s="9" t="n"/>
      <c r="DV2" s="10" t="inlineStr">
        <is>
          <t>Nova Quest</t>
        </is>
      </c>
      <c r="DW2" s="10" t="n"/>
      <c r="DX2" s="10" t="n"/>
      <c r="DY2" s="10" t="n"/>
      <c r="DZ2" s="10" t="n"/>
      <c r="EA2" s="10" t="n"/>
      <c r="EB2" s="10" t="n"/>
      <c r="EC2" s="10" t="n"/>
      <c r="ED2" s="10" t="n"/>
      <c r="EE2" s="10" t="n"/>
      <c r="EF2" s="10" t="n"/>
      <c r="EG2" s="10" t="n"/>
      <c r="EH2" s="10" t="n"/>
      <c r="EI2" s="10" t="n"/>
      <c r="EJ2" s="10" t="n"/>
      <c r="EK2" s="10" t="n"/>
      <c r="EL2" s="10" t="n"/>
      <c r="EM2" s="10" t="n"/>
      <c r="EN2" s="10" t="n"/>
      <c r="EO2" s="10" t="n"/>
      <c r="EP2" s="10" t="n"/>
      <c r="EQ2" s="10" t="n"/>
      <c r="ER2" s="10" t="n"/>
      <c r="ES2" s="10" t="n"/>
      <c r="ET2" s="10" t="n"/>
      <c r="EU2" s="10" t="n"/>
      <c r="EV2" s="10" t="n"/>
      <c r="EW2" s="10" t="n"/>
      <c r="EX2" s="10" t="n"/>
      <c r="EY2" s="10" t="n"/>
    </row>
    <row r="4">
      <c r="C4" t="inlineStr">
        <is>
          <t>LAIR</t>
        </is>
      </c>
      <c r="AH4" t="inlineStr">
        <is>
          <t>LAIR</t>
        </is>
      </c>
      <c r="BM4" t="inlineStr">
        <is>
          <t>LAIR</t>
        </is>
      </c>
      <c r="CR4" t="inlineStr">
        <is>
          <t>LAIR</t>
        </is>
      </c>
      <c r="DW4" t="inlineStr">
        <is>
          <t>LAIR</t>
        </is>
      </c>
    </row>
    <row r="5">
      <c r="C5" s="1" t="n">
        <v>0.17</v>
      </c>
      <c r="S5" s="1" t="n"/>
      <c r="AH5" s="1" t="n">
        <v>0.17</v>
      </c>
      <c r="AX5" s="1" t="n"/>
      <c r="BM5" s="1" t="n">
        <v>0.17</v>
      </c>
      <c r="CC5" s="1" t="n"/>
      <c r="CR5" s="1" t="n">
        <v>0.17</v>
      </c>
      <c r="DH5" s="1" t="n"/>
      <c r="DW5" s="1" t="n">
        <v>0.17</v>
      </c>
      <c r="EM5" s="1" t="n"/>
    </row>
    <row r="6">
      <c r="B6" s="11" t="inlineStr">
        <is>
          <t>Ano Completo</t>
        </is>
      </c>
      <c r="R6" s="11" t="inlineStr">
        <is>
          <t>Ano Completo</t>
        </is>
      </c>
      <c r="AG6" s="11" t="inlineStr">
        <is>
          <t>Ano Completo</t>
        </is>
      </c>
      <c r="AW6" s="11" t="inlineStr">
        <is>
          <t>Ano Completo</t>
        </is>
      </c>
      <c r="BL6" s="11" t="inlineStr">
        <is>
          <t>Ano Completo</t>
        </is>
      </c>
      <c r="CB6" s="11" t="inlineStr">
        <is>
          <t>Ano Completo</t>
        </is>
      </c>
      <c r="CQ6" s="11" t="inlineStr">
        <is>
          <t>Ano Completo</t>
        </is>
      </c>
      <c r="DG6" s="11" t="inlineStr">
        <is>
          <t>Ano Completo</t>
        </is>
      </c>
      <c r="DV6" s="11" t="inlineStr">
        <is>
          <t>Ano Completo</t>
        </is>
      </c>
      <c r="EL6" s="11" t="inlineStr">
        <is>
          <t>Ano Completo</t>
        </is>
      </c>
    </row>
    <row r="7">
      <c r="B7" t="inlineStr">
        <is>
          <t>1º Sem 2024</t>
        </is>
      </c>
      <c r="R7" t="inlineStr">
        <is>
          <t>1º Sem 2025</t>
        </is>
      </c>
      <c r="AG7" t="inlineStr">
        <is>
          <t>1º Sem 2024</t>
        </is>
      </c>
      <c r="AW7" t="inlineStr">
        <is>
          <t>1º Sem 2025</t>
        </is>
      </c>
      <c r="BL7" t="inlineStr">
        <is>
          <t>1º Sem 2024</t>
        </is>
      </c>
      <c r="CB7" t="inlineStr">
        <is>
          <t>1º Sem 2025</t>
        </is>
      </c>
      <c r="CQ7" t="inlineStr">
        <is>
          <t>1º Sem 2024</t>
        </is>
      </c>
      <c r="DG7" t="inlineStr">
        <is>
          <t>1º Sem 2025</t>
        </is>
      </c>
      <c r="DV7" t="inlineStr">
        <is>
          <t>1º Sem 2024</t>
        </is>
      </c>
      <c r="EL7" t="inlineStr">
        <is>
          <t>1º Sem 2025</t>
        </is>
      </c>
    </row>
    <row r="8">
      <c r="D8" s="5" t="n">
        <v>45292</v>
      </c>
      <c r="E8" s="5" t="n">
        <v>45323</v>
      </c>
      <c r="F8" s="5" t="n">
        <v>45352</v>
      </c>
      <c r="G8" s="5" t="n">
        <v>45383</v>
      </c>
      <c r="H8" s="5" t="n">
        <v>45413</v>
      </c>
      <c r="I8" s="5" t="n">
        <v>45444</v>
      </c>
      <c r="J8" s="5" t="n">
        <v>45474</v>
      </c>
      <c r="K8" s="5" t="n">
        <v>45505</v>
      </c>
      <c r="L8" s="5" t="n">
        <v>45536</v>
      </c>
      <c r="M8" s="5" t="n">
        <v>45566</v>
      </c>
      <c r="N8" s="5" t="n">
        <v>45597</v>
      </c>
      <c r="O8" s="5" t="n">
        <v>45627</v>
      </c>
      <c r="T8" s="5" t="n">
        <v>45658</v>
      </c>
      <c r="U8" s="5" t="n">
        <v>45689</v>
      </c>
      <c r="V8" s="5" t="n">
        <v>45717</v>
      </c>
      <c r="W8" s="5" t="n">
        <v>45748</v>
      </c>
      <c r="X8" s="5" t="n">
        <v>45778</v>
      </c>
      <c r="Y8" s="5" t="n">
        <v>45809</v>
      </c>
      <c r="Z8" s="5" t="n">
        <v>45839</v>
      </c>
      <c r="AA8" s="5" t="n">
        <v>45870</v>
      </c>
      <c r="AB8" s="5" t="n">
        <v>45901</v>
      </c>
      <c r="AC8" s="5" t="n">
        <v>45931</v>
      </c>
      <c r="AD8" s="5" t="n">
        <v>45962</v>
      </c>
      <c r="AE8" s="5" t="n">
        <v>45992</v>
      </c>
      <c r="AI8" s="5" t="n">
        <v>45292</v>
      </c>
      <c r="AJ8" s="5" t="n">
        <v>45323</v>
      </c>
      <c r="AK8" s="5" t="n">
        <v>45352</v>
      </c>
      <c r="AL8" s="5" t="n">
        <v>45383</v>
      </c>
      <c r="AM8" s="5" t="n">
        <v>45413</v>
      </c>
      <c r="AN8" s="5" t="n">
        <v>45444</v>
      </c>
      <c r="AO8" s="5" t="n">
        <v>45474</v>
      </c>
      <c r="AP8" s="5" t="n">
        <v>45505</v>
      </c>
      <c r="AQ8" s="5" t="n">
        <v>45536</v>
      </c>
      <c r="AR8" s="5" t="n">
        <v>45566</v>
      </c>
      <c r="AS8" s="5" t="n">
        <v>45597</v>
      </c>
      <c r="AT8" s="5" t="n">
        <v>45627</v>
      </c>
      <c r="AY8" s="5" t="n">
        <v>45658</v>
      </c>
      <c r="AZ8" s="5" t="n">
        <v>45689</v>
      </c>
      <c r="BA8" s="5" t="n">
        <v>45717</v>
      </c>
      <c r="BB8" s="5" t="n">
        <v>45748</v>
      </c>
      <c r="BC8" s="5" t="n">
        <v>45778</v>
      </c>
      <c r="BD8" s="5" t="n">
        <v>45809</v>
      </c>
      <c r="BE8" s="5" t="n">
        <v>45839</v>
      </c>
      <c r="BF8" s="5" t="n">
        <v>45870</v>
      </c>
      <c r="BG8" s="5" t="n">
        <v>45901</v>
      </c>
      <c r="BH8" s="5" t="n">
        <v>45931</v>
      </c>
      <c r="BI8" s="5" t="n">
        <v>45962</v>
      </c>
      <c r="BJ8" s="5" t="n">
        <v>45992</v>
      </c>
      <c r="BN8" s="5" t="n">
        <v>45292</v>
      </c>
      <c r="BO8" s="5" t="n">
        <v>45323</v>
      </c>
      <c r="BP8" s="5" t="n">
        <v>45352</v>
      </c>
      <c r="BQ8" s="5" t="n">
        <v>45383</v>
      </c>
      <c r="BR8" s="5" t="n">
        <v>45413</v>
      </c>
      <c r="BS8" s="5" t="n">
        <v>45444</v>
      </c>
      <c r="BT8" s="5" t="n">
        <v>45474</v>
      </c>
      <c r="BU8" s="5" t="n">
        <v>45505</v>
      </c>
      <c r="BV8" s="5" t="n">
        <v>45536</v>
      </c>
      <c r="BW8" s="5" t="n">
        <v>45566</v>
      </c>
      <c r="BX8" s="5" t="n">
        <v>45597</v>
      </c>
      <c r="BY8" s="5" t="n">
        <v>45627</v>
      </c>
      <c r="CD8" s="5" t="n">
        <v>45658</v>
      </c>
      <c r="CE8" s="5" t="n">
        <v>45689</v>
      </c>
      <c r="CF8" s="5" t="n">
        <v>45717</v>
      </c>
      <c r="CG8" s="5" t="n">
        <v>45748</v>
      </c>
      <c r="CH8" s="5" t="n">
        <v>45778</v>
      </c>
      <c r="CI8" s="5" t="n">
        <v>45809</v>
      </c>
      <c r="CJ8" s="5" t="n">
        <v>45839</v>
      </c>
      <c r="CK8" s="5" t="n">
        <v>45870</v>
      </c>
      <c r="CL8" s="5" t="n">
        <v>45901</v>
      </c>
      <c r="CM8" s="5" t="n">
        <v>45931</v>
      </c>
      <c r="CN8" s="5" t="n">
        <v>45962</v>
      </c>
      <c r="CO8" s="5" t="n">
        <v>45992</v>
      </c>
      <c r="CS8" s="5" t="n">
        <v>45292</v>
      </c>
      <c r="CT8" s="5" t="n">
        <v>45323</v>
      </c>
      <c r="CU8" s="5" t="n">
        <v>45352</v>
      </c>
      <c r="CV8" s="5" t="n">
        <v>45383</v>
      </c>
      <c r="CW8" s="5" t="n">
        <v>45413</v>
      </c>
      <c r="CX8" s="5" t="n">
        <v>45444</v>
      </c>
      <c r="CY8" s="5" t="n">
        <v>45474</v>
      </c>
      <c r="CZ8" s="5" t="n">
        <v>45505</v>
      </c>
      <c r="DA8" s="5" t="n">
        <v>45536</v>
      </c>
      <c r="DB8" s="5" t="n">
        <v>45566</v>
      </c>
      <c r="DC8" s="5" t="n">
        <v>45597</v>
      </c>
      <c r="DD8" s="5" t="n">
        <v>45627</v>
      </c>
      <c r="DI8" s="5" t="n">
        <v>45658</v>
      </c>
      <c r="DJ8" s="5" t="n">
        <v>45689</v>
      </c>
      <c r="DK8" s="5" t="n">
        <v>45717</v>
      </c>
      <c r="DL8" s="5" t="n">
        <v>45748</v>
      </c>
      <c r="DM8" s="5" t="n">
        <v>45778</v>
      </c>
      <c r="DN8" s="5" t="n">
        <v>45809</v>
      </c>
      <c r="DO8" s="5" t="n">
        <v>45839</v>
      </c>
      <c r="DP8" s="5" t="n">
        <v>45870</v>
      </c>
      <c r="DQ8" s="5" t="n">
        <v>45901</v>
      </c>
      <c r="DR8" s="5" t="n">
        <v>45931</v>
      </c>
      <c r="DS8" s="5" t="n">
        <v>45962</v>
      </c>
      <c r="DT8" s="5" t="n">
        <v>45992</v>
      </c>
      <c r="DX8" s="5" t="n">
        <v>45292</v>
      </c>
      <c r="DY8" s="5" t="n">
        <v>45323</v>
      </c>
      <c r="DZ8" s="5" t="n">
        <v>45352</v>
      </c>
      <c r="EA8" s="5" t="n">
        <v>45383</v>
      </c>
      <c r="EB8" s="5" t="n">
        <v>45413</v>
      </c>
      <c r="EC8" s="5" t="n">
        <v>45444</v>
      </c>
      <c r="ED8" s="5" t="n">
        <v>45474</v>
      </c>
      <c r="EE8" s="5" t="n">
        <v>45505</v>
      </c>
      <c r="EF8" s="5" t="n">
        <v>45536</v>
      </c>
      <c r="EG8" s="5" t="n">
        <v>45566</v>
      </c>
      <c r="EH8" s="5" t="n">
        <v>45597</v>
      </c>
      <c r="EI8" s="5" t="n">
        <v>45627</v>
      </c>
      <c r="EN8" s="5" t="n">
        <v>45658</v>
      </c>
      <c r="EO8" s="5" t="n">
        <v>45689</v>
      </c>
      <c r="EP8" s="5" t="n">
        <v>45717</v>
      </c>
      <c r="EQ8" s="5" t="n">
        <v>45748</v>
      </c>
      <c r="ER8" s="5" t="n">
        <v>45778</v>
      </c>
      <c r="ES8" s="5" t="n">
        <v>45809</v>
      </c>
      <c r="ET8" s="5" t="n">
        <v>45839</v>
      </c>
      <c r="EU8" s="5" t="n">
        <v>45870</v>
      </c>
      <c r="EV8" s="5" t="n">
        <v>45901</v>
      </c>
      <c r="EW8" s="5" t="n">
        <v>45931</v>
      </c>
      <c r="EX8" s="5" t="n">
        <v>45962</v>
      </c>
      <c r="EY8" s="5" t="n">
        <v>45992</v>
      </c>
    </row>
    <row r="9">
      <c r="B9" t="inlineStr">
        <is>
          <t>Comissão N. Negocios</t>
        </is>
      </c>
      <c r="C9">
        <f>SUM(D9:O9)</f>
        <v/>
      </c>
      <c r="R9" t="inlineStr">
        <is>
          <t>Comissão N. Negocios</t>
        </is>
      </c>
      <c r="S9">
        <f>SUM(T9:AE9)</f>
        <v/>
      </c>
      <c r="AG9" t="inlineStr">
        <is>
          <t>Comissão N. Negocios</t>
        </is>
      </c>
      <c r="AH9">
        <f>SUM(AI9:AT9)</f>
        <v/>
      </c>
      <c r="AW9" t="inlineStr">
        <is>
          <t>Comissão N. Negocios</t>
        </is>
      </c>
      <c r="AX9">
        <f>SUM(AY9:BJ9)</f>
        <v/>
      </c>
      <c r="BL9" t="inlineStr">
        <is>
          <t>Comissão N. Negocios</t>
        </is>
      </c>
      <c r="BM9">
        <f>SUM(BN9:BY9)</f>
        <v/>
      </c>
      <c r="CB9" t="inlineStr">
        <is>
          <t>Comissão N. Negocios</t>
        </is>
      </c>
      <c r="CC9">
        <f>SUM(CD9:CO9)</f>
        <v/>
      </c>
      <c r="CQ9" t="inlineStr">
        <is>
          <t>Comissão N. Negocios</t>
        </is>
      </c>
      <c r="CR9">
        <f>SUM(CS9:DD9)</f>
        <v/>
      </c>
      <c r="DG9" t="inlineStr">
        <is>
          <t>Comissão N. Negocios</t>
        </is>
      </c>
      <c r="DH9">
        <f>SUM(DI9:DT9)</f>
        <v/>
      </c>
      <c r="DV9" t="inlineStr">
        <is>
          <t>Comissão N. Negocios</t>
        </is>
      </c>
      <c r="DW9">
        <f>SUM(DX9:EI9)</f>
        <v/>
      </c>
      <c r="EL9" t="inlineStr">
        <is>
          <t>Comissão N. Negocios</t>
        </is>
      </c>
      <c r="EM9">
        <f>SUM(EN9:EY9)</f>
        <v/>
      </c>
    </row>
    <row r="10">
      <c r="B10" s="2" t="inlineStr">
        <is>
          <t>Ativa Silver</t>
        </is>
      </c>
      <c r="C10">
        <f>SUM(D10:O10)</f>
        <v/>
      </c>
      <c r="R10" s="2" t="inlineStr">
        <is>
          <t>Ativa Silver</t>
        </is>
      </c>
      <c r="S10">
        <f>SUM(T10:AE10)</f>
        <v/>
      </c>
      <c r="AG10" s="2" t="inlineStr">
        <is>
          <t>Ativa Silver</t>
        </is>
      </c>
      <c r="AH10">
        <f>SUM(AI10:AT10)</f>
        <v/>
      </c>
      <c r="AW10" s="2" t="inlineStr">
        <is>
          <t>Ativa Silver</t>
        </is>
      </c>
      <c r="AX10">
        <f>SUM(AY10:BJ10)</f>
        <v/>
      </c>
      <c r="BL10" s="2" t="inlineStr">
        <is>
          <t>Ativa Silver</t>
        </is>
      </c>
      <c r="BM10">
        <f>SUM(BN10:BY10)</f>
        <v/>
      </c>
      <c r="CB10" s="2" t="inlineStr">
        <is>
          <t>Ativa Silver</t>
        </is>
      </c>
      <c r="CC10">
        <f>SUM(CD10:CO10)</f>
        <v/>
      </c>
      <c r="CQ10" s="2" t="inlineStr">
        <is>
          <t>Ativa Silver</t>
        </is>
      </c>
      <c r="CR10">
        <f>SUM(CS10:DD10)</f>
        <v/>
      </c>
      <c r="DG10" s="2" t="inlineStr">
        <is>
          <t>Ativa Silver</t>
        </is>
      </c>
      <c r="DH10">
        <f>SUM(DI10:DT10)</f>
        <v/>
      </c>
      <c r="DV10" s="2" t="inlineStr">
        <is>
          <t>Ativa Silver</t>
        </is>
      </c>
      <c r="DW10">
        <f>SUM(DX10:EI10)</f>
        <v/>
      </c>
      <c r="EL10" s="2" t="inlineStr">
        <is>
          <t>Ativa Silver</t>
        </is>
      </c>
      <c r="EM10">
        <f>SUM(EN10:EY10)</f>
        <v/>
      </c>
    </row>
    <row r="11">
      <c r="B11" s="2" t="inlineStr">
        <is>
          <t>Ativa Gold</t>
        </is>
      </c>
      <c r="C11">
        <f>SUM(D11:O11)</f>
        <v/>
      </c>
      <c r="R11" s="2" t="inlineStr">
        <is>
          <t>Ativa Gold</t>
        </is>
      </c>
      <c r="S11">
        <f>SUM(T11:AE11)</f>
        <v/>
      </c>
      <c r="AG11" s="2" t="inlineStr">
        <is>
          <t>Ativa Gold</t>
        </is>
      </c>
      <c r="AH11">
        <f>SUM(AI11:AT11)</f>
        <v/>
      </c>
      <c r="AW11" s="2" t="inlineStr">
        <is>
          <t>Ativa Gold</t>
        </is>
      </c>
      <c r="AX11">
        <f>SUM(AY11:BJ11)</f>
        <v/>
      </c>
      <c r="BL11" s="2" t="inlineStr">
        <is>
          <t>Ativa Gold</t>
        </is>
      </c>
      <c r="BM11">
        <f>SUM(BN11:BY11)</f>
        <v/>
      </c>
      <c r="CB11" s="2" t="inlineStr">
        <is>
          <t>Ativa Gold</t>
        </is>
      </c>
      <c r="CC11">
        <f>SUM(CD11:CO11)</f>
        <v/>
      </c>
      <c r="CQ11" s="2" t="inlineStr">
        <is>
          <t>Ativa Gold</t>
        </is>
      </c>
      <c r="CR11">
        <f>SUM(CS11:DD11)</f>
        <v/>
      </c>
      <c r="DG11" s="2" t="inlineStr">
        <is>
          <t>Ativa Gold</t>
        </is>
      </c>
      <c r="DH11">
        <f>SUM(DI11:DT11)</f>
        <v/>
      </c>
      <c r="DV11" s="2" t="inlineStr">
        <is>
          <t>Ativa Gold</t>
        </is>
      </c>
      <c r="DW11">
        <f>SUM(DX11:EI11)</f>
        <v/>
      </c>
      <c r="EL11" s="2" t="inlineStr">
        <is>
          <t>Ativa Gold</t>
        </is>
      </c>
      <c r="EM11">
        <f>SUM(EN11:EY11)</f>
        <v/>
      </c>
    </row>
    <row r="12">
      <c r="B12" s="2" t="inlineStr">
        <is>
          <t>Business</t>
        </is>
      </c>
      <c r="C12">
        <f>SUM(D12:O12)</f>
        <v/>
      </c>
      <c r="R12" s="2" t="inlineStr">
        <is>
          <t>Business</t>
        </is>
      </c>
      <c r="S12">
        <f>SUM(T12:AE12)</f>
        <v/>
      </c>
      <c r="AG12" s="2" t="inlineStr">
        <is>
          <t>Business</t>
        </is>
      </c>
      <c r="AH12">
        <f>SUM(AI12:AT12)</f>
        <v/>
      </c>
      <c r="AW12" s="2" t="inlineStr">
        <is>
          <t>Business</t>
        </is>
      </c>
      <c r="AX12">
        <f>SUM(AY12:BJ12)</f>
        <v/>
      </c>
      <c r="BL12" s="2" t="inlineStr">
        <is>
          <t>Business</t>
        </is>
      </c>
      <c r="BM12">
        <f>SUM(BN12:BY12)</f>
        <v/>
      </c>
      <c r="CB12" s="2" t="inlineStr">
        <is>
          <t>Business</t>
        </is>
      </c>
      <c r="CC12">
        <f>SUM(CD12:CO12)</f>
        <v/>
      </c>
      <c r="CQ12" s="2" t="inlineStr">
        <is>
          <t>Business</t>
        </is>
      </c>
      <c r="CR12">
        <f>SUM(CS12:DD12)</f>
        <v/>
      </c>
      <c r="DG12" s="2" t="inlineStr">
        <is>
          <t>Business</t>
        </is>
      </c>
      <c r="DH12">
        <f>SUM(DI12:DT12)</f>
        <v/>
      </c>
      <c r="DV12" s="2" t="inlineStr">
        <is>
          <t>Business</t>
        </is>
      </c>
      <c r="DW12">
        <f>SUM(DX12:EI12)</f>
        <v/>
      </c>
      <c r="EL12" s="2" t="inlineStr">
        <is>
          <t>Business</t>
        </is>
      </c>
      <c r="EM12">
        <f>SUM(EN12:EY12)</f>
        <v/>
      </c>
    </row>
    <row r="13">
      <c r="B13" s="2" t="inlineStr">
        <is>
          <t>Platinum</t>
        </is>
      </c>
      <c r="C13">
        <f>SUM(D13:O13)</f>
        <v/>
      </c>
      <c r="R13" s="2" t="inlineStr">
        <is>
          <t>Platinum</t>
        </is>
      </c>
      <c r="S13">
        <f>SUM(T13:AE13)</f>
        <v/>
      </c>
      <c r="AG13" s="2" t="inlineStr">
        <is>
          <t>Platinum</t>
        </is>
      </c>
      <c r="AH13">
        <f>SUM(AI13:AT13)</f>
        <v/>
      </c>
      <c r="AW13" s="2" t="inlineStr">
        <is>
          <t>Platinum</t>
        </is>
      </c>
      <c r="AX13">
        <f>SUM(AY13:BJ13)</f>
        <v/>
      </c>
      <c r="BL13" s="2" t="inlineStr">
        <is>
          <t>Platinum</t>
        </is>
      </c>
      <c r="BM13">
        <f>SUM(BN13:BY13)</f>
        <v/>
      </c>
      <c r="CB13" s="2" t="inlineStr">
        <is>
          <t>Platinum</t>
        </is>
      </c>
      <c r="CC13">
        <f>SUM(CD13:CO13)</f>
        <v/>
      </c>
      <c r="CQ13" s="2" t="inlineStr">
        <is>
          <t>Platinum</t>
        </is>
      </c>
      <c r="CR13">
        <f>SUM(CS13:DD13)</f>
        <v/>
      </c>
      <c r="DG13" s="2" t="inlineStr">
        <is>
          <t>Platinum</t>
        </is>
      </c>
      <c r="DH13">
        <f>SUM(DI13:DT13)</f>
        <v/>
      </c>
      <c r="DV13" s="2" t="inlineStr">
        <is>
          <t>Platinum</t>
        </is>
      </c>
      <c r="DW13">
        <f>SUM(DX13:EI13)</f>
        <v/>
      </c>
      <c r="EL13" s="2" t="inlineStr">
        <is>
          <t>Platinum</t>
        </is>
      </c>
      <c r="EM13">
        <f>SUM(EN13:EY13)</f>
        <v/>
      </c>
    </row>
    <row r="14">
      <c r="B14" s="2" t="inlineStr">
        <is>
          <t>WO Silver</t>
        </is>
      </c>
      <c r="C14">
        <f>SUM(D14:O14)</f>
        <v/>
      </c>
      <c r="R14" s="2" t="inlineStr">
        <is>
          <t>WO Silver</t>
        </is>
      </c>
      <c r="S14">
        <f>SUM(T14:AE14)</f>
        <v/>
      </c>
      <c r="AG14" s="2" t="inlineStr">
        <is>
          <t>WO Silver</t>
        </is>
      </c>
      <c r="AH14">
        <f>SUM(AI14:AT14)</f>
        <v/>
      </c>
      <c r="AW14" s="2" t="inlineStr">
        <is>
          <t>WO Silver</t>
        </is>
      </c>
      <c r="AX14">
        <f>SUM(AY14:BJ14)</f>
        <v/>
      </c>
      <c r="BL14" s="2" t="inlineStr">
        <is>
          <t>WO Silver</t>
        </is>
      </c>
      <c r="BM14">
        <f>SUM(BN14:BY14)</f>
        <v/>
      </c>
      <c r="CB14" s="2" t="inlineStr">
        <is>
          <t>WO Silver</t>
        </is>
      </c>
      <c r="CC14">
        <f>SUM(CD14:CO14)</f>
        <v/>
      </c>
      <c r="CQ14" s="2" t="inlineStr">
        <is>
          <t>WO Silver</t>
        </is>
      </c>
      <c r="CR14">
        <f>SUM(CS14:DD14)</f>
        <v/>
      </c>
      <c r="DG14" s="2" t="inlineStr">
        <is>
          <t>WO Silver</t>
        </is>
      </c>
      <c r="DH14">
        <f>SUM(DI14:DT14)</f>
        <v/>
      </c>
      <c r="DV14" s="2" t="inlineStr">
        <is>
          <t>WO Silver</t>
        </is>
      </c>
      <c r="DW14">
        <f>SUM(DX14:EI14)</f>
        <v/>
      </c>
      <c r="EL14" s="2" t="inlineStr">
        <is>
          <t>WO Silver</t>
        </is>
      </c>
      <c r="EM14">
        <f>SUM(EN14:EY14)</f>
        <v/>
      </c>
    </row>
    <row r="15">
      <c r="B15" s="2" t="inlineStr">
        <is>
          <t>WO Gold</t>
        </is>
      </c>
      <c r="C15">
        <f>SUM(D15:O15)</f>
        <v/>
      </c>
      <c r="R15" s="2" t="inlineStr">
        <is>
          <t>WO Gold</t>
        </is>
      </c>
      <c r="S15">
        <f>SUM(T15:AE15)</f>
        <v/>
      </c>
      <c r="AG15" s="2" t="inlineStr">
        <is>
          <t>WO Gold</t>
        </is>
      </c>
      <c r="AH15">
        <f>SUM(AI15:AT15)</f>
        <v/>
      </c>
      <c r="AW15" s="2" t="inlineStr">
        <is>
          <t>WO Gold</t>
        </is>
      </c>
      <c r="AX15">
        <f>SUM(AY15:BJ15)</f>
        <v/>
      </c>
      <c r="BL15" s="2" t="inlineStr">
        <is>
          <t>WO Gold</t>
        </is>
      </c>
      <c r="BM15">
        <f>SUM(BN15:BY15)</f>
        <v/>
      </c>
      <c r="CB15" s="2" t="inlineStr">
        <is>
          <t>WO Gold</t>
        </is>
      </c>
      <c r="CC15">
        <f>SUM(CD15:CO15)</f>
        <v/>
      </c>
      <c r="CQ15" s="2" t="inlineStr">
        <is>
          <t>WO Gold</t>
        </is>
      </c>
      <c r="CR15">
        <f>SUM(CS15:DD15)</f>
        <v/>
      </c>
      <c r="DG15" s="2" t="inlineStr">
        <is>
          <t>WO Gold</t>
        </is>
      </c>
      <c r="DH15">
        <f>SUM(DI15:DT15)</f>
        <v/>
      </c>
      <c r="DV15" s="2" t="inlineStr">
        <is>
          <t>WO Gold</t>
        </is>
      </c>
      <c r="DW15">
        <f>SUM(DX15:EI15)</f>
        <v/>
      </c>
      <c r="EL15" s="2" t="inlineStr">
        <is>
          <t>WO Gold</t>
        </is>
      </c>
      <c r="EM15">
        <f>SUM(EN15:EY15)</f>
        <v/>
      </c>
    </row>
    <row r="16">
      <c r="B16" s="2" t="inlineStr">
        <is>
          <t>Low Tickets Ativo</t>
        </is>
      </c>
      <c r="C16">
        <f>SUM(D16:O16)</f>
        <v/>
      </c>
      <c r="R16" s="2" t="inlineStr">
        <is>
          <t>Low Tickets Ativo</t>
        </is>
      </c>
      <c r="S16">
        <f>SUM(T16:AE16)</f>
        <v/>
      </c>
      <c r="AG16" s="2" t="inlineStr">
        <is>
          <t>Low Tickets Ativo</t>
        </is>
      </c>
      <c r="AH16">
        <f>SUM(AI16:AT16)</f>
        <v/>
      </c>
      <c r="AW16" s="2" t="inlineStr">
        <is>
          <t>Low Tickets Ativo</t>
        </is>
      </c>
      <c r="AX16">
        <f>SUM(AY16:BJ16)</f>
        <v/>
      </c>
      <c r="BL16" s="2" t="inlineStr">
        <is>
          <t>Low Tickets Ativo</t>
        </is>
      </c>
      <c r="BM16">
        <f>SUM(BN16:BY16)</f>
        <v/>
      </c>
      <c r="CB16" s="2" t="inlineStr">
        <is>
          <t>Low Tickets Ativo</t>
        </is>
      </c>
      <c r="CC16">
        <f>SUM(CD16:CO16)</f>
        <v/>
      </c>
      <c r="CQ16" s="2" t="inlineStr">
        <is>
          <t>Low Tickets Ativo</t>
        </is>
      </c>
      <c r="CR16">
        <f>SUM(CS16:DD16)</f>
        <v/>
      </c>
      <c r="DG16" s="2" t="inlineStr">
        <is>
          <t>Low Tickets Ativo</t>
        </is>
      </c>
      <c r="DH16">
        <f>SUM(DI16:DT16)</f>
        <v/>
      </c>
      <c r="DV16" s="2" t="inlineStr">
        <is>
          <t>Low Tickets Ativo</t>
        </is>
      </c>
      <c r="DW16">
        <f>SUM(DX16:EI16)</f>
        <v/>
      </c>
      <c r="EL16" s="2" t="inlineStr">
        <is>
          <t>Low Tickets Ativo</t>
        </is>
      </c>
      <c r="EM16">
        <f>SUM(EN16:EY16)</f>
        <v/>
      </c>
    </row>
    <row r="17">
      <c r="B17" s="2" t="inlineStr">
        <is>
          <t>Standard</t>
        </is>
      </c>
      <c r="C17">
        <f>SUM(D17:O17)</f>
        <v/>
      </c>
      <c r="R17" s="2" t="inlineStr">
        <is>
          <t>Standard</t>
        </is>
      </c>
      <c r="S17">
        <f>SUM(T17:AE17)</f>
        <v/>
      </c>
      <c r="AG17" s="2" t="inlineStr">
        <is>
          <t>Standard</t>
        </is>
      </c>
      <c r="AH17">
        <f>SUM(AI17:AT17)</f>
        <v/>
      </c>
      <c r="AW17" s="2" t="inlineStr">
        <is>
          <t>Standard</t>
        </is>
      </c>
      <c r="AX17">
        <f>SUM(AY17:BJ17)</f>
        <v/>
      </c>
      <c r="BL17" s="2" t="inlineStr">
        <is>
          <t>Standard</t>
        </is>
      </c>
      <c r="BM17">
        <f>SUM(BN17:BY17)</f>
        <v/>
      </c>
      <c r="CB17" s="2" t="inlineStr">
        <is>
          <t>Standard</t>
        </is>
      </c>
      <c r="CC17">
        <f>SUM(CD17:CO17)</f>
        <v/>
      </c>
      <c r="CQ17" s="2" t="inlineStr">
        <is>
          <t>Standard</t>
        </is>
      </c>
      <c r="CR17">
        <f>SUM(CS17:DD17)</f>
        <v/>
      </c>
      <c r="DG17" s="2" t="inlineStr">
        <is>
          <t>Standard</t>
        </is>
      </c>
      <c r="DH17">
        <f>SUM(DI17:DT17)</f>
        <v/>
      </c>
      <c r="DV17" s="2" t="inlineStr">
        <is>
          <t>Standard</t>
        </is>
      </c>
      <c r="DW17">
        <f>SUM(DX17:EI17)</f>
        <v/>
      </c>
      <c r="EL17" s="2" t="inlineStr">
        <is>
          <t>Standard</t>
        </is>
      </c>
      <c r="EM17">
        <f>SUM(EN17:EY17)</f>
        <v/>
      </c>
    </row>
    <row r="18">
      <c r="B18" s="2" t="inlineStr">
        <is>
          <t>Advanced</t>
        </is>
      </c>
      <c r="C18">
        <f>SUM(D18:O18)</f>
        <v/>
      </c>
      <c r="R18" s="2" t="inlineStr">
        <is>
          <t>Advanced</t>
        </is>
      </c>
      <c r="S18">
        <f>SUM(T18:AE18)</f>
        <v/>
      </c>
      <c r="AG18" s="2" t="inlineStr">
        <is>
          <t>Advanced</t>
        </is>
      </c>
      <c r="AH18">
        <f>SUM(AI18:AT18)</f>
        <v/>
      </c>
      <c r="AW18" s="2" t="inlineStr">
        <is>
          <t>Advanced</t>
        </is>
      </c>
      <c r="AX18">
        <f>SUM(AY18:BJ18)</f>
        <v/>
      </c>
      <c r="BL18" s="2" t="inlineStr">
        <is>
          <t>Advanced</t>
        </is>
      </c>
      <c r="BM18">
        <f>SUM(BN18:BY18)</f>
        <v/>
      </c>
      <c r="CB18" s="2" t="inlineStr">
        <is>
          <t>Advanced</t>
        </is>
      </c>
      <c r="CC18">
        <f>SUM(CD18:CO18)</f>
        <v/>
      </c>
      <c r="CQ18" s="2" t="inlineStr">
        <is>
          <t>Advanced</t>
        </is>
      </c>
      <c r="CR18">
        <f>SUM(CS18:DD18)</f>
        <v/>
      </c>
      <c r="DG18" s="2" t="inlineStr">
        <is>
          <t>Advanced</t>
        </is>
      </c>
      <c r="DH18">
        <f>SUM(DI18:DT18)</f>
        <v/>
      </c>
      <c r="DV18" s="2" t="inlineStr">
        <is>
          <t>Advanced</t>
        </is>
      </c>
      <c r="DW18">
        <f>SUM(DX18:EI18)</f>
        <v/>
      </c>
      <c r="EL18" s="2" t="inlineStr">
        <is>
          <t>Advanced</t>
        </is>
      </c>
      <c r="EM18">
        <f>SUM(EN18:EY18)</f>
        <v/>
      </c>
    </row>
    <row r="19">
      <c r="B19" s="2" t="inlineStr">
        <is>
          <t>High Tickets Ativo</t>
        </is>
      </c>
      <c r="C19">
        <f>SUM(D19:O19)</f>
        <v/>
      </c>
      <c r="R19" s="2" t="inlineStr">
        <is>
          <t>High Tickets Ativo</t>
        </is>
      </c>
      <c r="S19">
        <f>SUM(T19:AE19)</f>
        <v/>
      </c>
      <c r="AG19" s="2" t="inlineStr">
        <is>
          <t>High Tickets Ativo</t>
        </is>
      </c>
      <c r="AH19">
        <f>SUM(AI19:AT19)</f>
        <v/>
      </c>
      <c r="AW19" s="2" t="inlineStr">
        <is>
          <t>High Tickets Ativo</t>
        </is>
      </c>
      <c r="AX19">
        <f>SUM(AY19:BJ19)</f>
        <v/>
      </c>
      <c r="BL19" s="2" t="inlineStr">
        <is>
          <t>High Tickets Ativo</t>
        </is>
      </c>
      <c r="BM19">
        <f>SUM(BN19:BY19)</f>
        <v/>
      </c>
      <c r="CB19" s="2" t="inlineStr">
        <is>
          <t>High Tickets Ativo</t>
        </is>
      </c>
      <c r="CC19">
        <f>SUM(CD19:CO19)</f>
        <v/>
      </c>
      <c r="CQ19" s="2" t="inlineStr">
        <is>
          <t>High Tickets Ativo</t>
        </is>
      </c>
      <c r="CR19">
        <f>SUM(CS19:DD19)</f>
        <v/>
      </c>
      <c r="DG19" s="2" t="inlineStr">
        <is>
          <t>High Tickets Ativo</t>
        </is>
      </c>
      <c r="DH19">
        <f>SUM(DI19:DT19)</f>
        <v/>
      </c>
      <c r="DV19" s="2" t="inlineStr">
        <is>
          <t>High Tickets Ativo</t>
        </is>
      </c>
      <c r="DW19">
        <f>SUM(DX19:EI19)</f>
        <v/>
      </c>
      <c r="EL19" s="2" t="inlineStr">
        <is>
          <t>High Tickets Ativo</t>
        </is>
      </c>
      <c r="EM19">
        <f>SUM(EN19:EY19)</f>
        <v/>
      </c>
    </row>
    <row r="20">
      <c r="B20" s="2" t="inlineStr">
        <is>
          <t>WO Antecipado</t>
        </is>
      </c>
      <c r="C20">
        <f>SUM(D20:O20)</f>
        <v/>
      </c>
      <c r="R20" s="2" t="inlineStr">
        <is>
          <t>WO Antecipado</t>
        </is>
      </c>
      <c r="S20">
        <f>SUM(T20:AE20)</f>
        <v/>
      </c>
      <c r="AG20" s="2" t="inlineStr">
        <is>
          <t>WO Antecipado</t>
        </is>
      </c>
      <c r="AH20">
        <f>SUM(AI20:AT20)</f>
        <v/>
      </c>
      <c r="AW20" s="2" t="inlineStr">
        <is>
          <t>WO Antecipado</t>
        </is>
      </c>
      <c r="AX20">
        <f>SUM(AY20:BJ20)</f>
        <v/>
      </c>
      <c r="BL20" s="2" t="inlineStr">
        <is>
          <t>WO Antecipado</t>
        </is>
      </c>
      <c r="BM20">
        <f>SUM(BN20:BY20)</f>
        <v/>
      </c>
      <c r="CB20" s="2" t="inlineStr">
        <is>
          <t>WO Antecipado</t>
        </is>
      </c>
      <c r="CC20">
        <f>SUM(CD20:CO20)</f>
        <v/>
      </c>
      <c r="CQ20" s="2" t="inlineStr">
        <is>
          <t>WO Antecipado</t>
        </is>
      </c>
      <c r="CR20">
        <f>SUM(CS20:DD20)</f>
        <v/>
      </c>
      <c r="DG20" s="2" t="inlineStr">
        <is>
          <t>WO Antecipado</t>
        </is>
      </c>
      <c r="DH20">
        <f>SUM(DI20:DT20)</f>
        <v/>
      </c>
      <c r="DV20" s="2" t="inlineStr">
        <is>
          <t>WO Antecipado</t>
        </is>
      </c>
      <c r="DW20">
        <f>SUM(DX20:EI20)</f>
        <v/>
      </c>
      <c r="EL20" s="2" t="inlineStr">
        <is>
          <t>WO Antecipado</t>
        </is>
      </c>
      <c r="EM20">
        <f>SUM(EN20:EY20)</f>
        <v/>
      </c>
    </row>
    <row r="21">
      <c r="B21" s="2" t="inlineStr">
        <is>
          <t>WO Produtivo</t>
        </is>
      </c>
      <c r="C21">
        <f>SUM(D21:O21)</f>
        <v/>
      </c>
      <c r="R21" s="2" t="inlineStr">
        <is>
          <t>WO Produtivo</t>
        </is>
      </c>
      <c r="S21">
        <f>SUM(T21:AE21)</f>
        <v/>
      </c>
      <c r="AG21" s="2" t="inlineStr">
        <is>
          <t>WO Produtivo</t>
        </is>
      </c>
      <c r="AH21">
        <f>SUM(AI21:AT21)</f>
        <v/>
      </c>
      <c r="AW21" s="2" t="inlineStr">
        <is>
          <t>WO Produtivo</t>
        </is>
      </c>
      <c r="AX21">
        <f>SUM(AY21:BJ21)</f>
        <v/>
      </c>
      <c r="BL21" s="2" t="inlineStr">
        <is>
          <t>WO Produtivo</t>
        </is>
      </c>
      <c r="BM21">
        <f>SUM(BN21:BY21)</f>
        <v/>
      </c>
      <c r="CB21" s="2" t="inlineStr">
        <is>
          <t>WO Produtivo</t>
        </is>
      </c>
      <c r="CC21">
        <f>SUM(CD21:CO21)</f>
        <v/>
      </c>
      <c r="CQ21" s="2" t="inlineStr">
        <is>
          <t>WO Produtivo</t>
        </is>
      </c>
      <c r="CR21">
        <f>SUM(CS21:DD21)</f>
        <v/>
      </c>
      <c r="DG21" s="2" t="inlineStr">
        <is>
          <t>WO Produtivo</t>
        </is>
      </c>
      <c r="DH21">
        <f>SUM(DI21:DT21)</f>
        <v/>
      </c>
      <c r="DV21" s="2" t="inlineStr">
        <is>
          <t>WO Produtivo</t>
        </is>
      </c>
      <c r="DW21">
        <f>SUM(DX21:EI21)</f>
        <v/>
      </c>
      <c r="EL21" s="2" t="inlineStr">
        <is>
          <t>WO Produtivo</t>
        </is>
      </c>
      <c r="EM21">
        <f>SUM(EN21:EY21)</f>
        <v/>
      </c>
    </row>
    <row r="22">
      <c r="B22" s="2" t="inlineStr">
        <is>
          <t>High Tickets WO</t>
        </is>
      </c>
      <c r="C22">
        <f>SUM(D22:O22)</f>
        <v/>
      </c>
      <c r="R22" s="2" t="inlineStr">
        <is>
          <t>High Tickets WO</t>
        </is>
      </c>
      <c r="S22">
        <f>SUM(T22:AE22)</f>
        <v/>
      </c>
      <c r="AG22" s="2" t="inlineStr">
        <is>
          <t>High Tickets WO</t>
        </is>
      </c>
      <c r="AH22">
        <f>SUM(AI22:AT22)</f>
        <v/>
      </c>
      <c r="AW22" s="2" t="inlineStr">
        <is>
          <t>High Tickets WO</t>
        </is>
      </c>
      <c r="AX22">
        <f>SUM(AY22:BJ22)</f>
        <v/>
      </c>
      <c r="BL22" s="2" t="inlineStr">
        <is>
          <t>High Tickets WO</t>
        </is>
      </c>
      <c r="BM22">
        <f>SUM(BN22:BY22)</f>
        <v/>
      </c>
      <c r="CB22" s="2" t="inlineStr">
        <is>
          <t>High Tickets WO</t>
        </is>
      </c>
      <c r="CC22">
        <f>SUM(CD22:CO22)</f>
        <v/>
      </c>
      <c r="CQ22" s="2" t="inlineStr">
        <is>
          <t>High Tickets WO</t>
        </is>
      </c>
      <c r="CR22">
        <f>SUM(CS22:DD22)</f>
        <v/>
      </c>
      <c r="DG22" s="2" t="inlineStr">
        <is>
          <t>High Tickets WO</t>
        </is>
      </c>
      <c r="DH22">
        <f>SUM(DI22:DT22)</f>
        <v/>
      </c>
      <c r="DV22" s="2" t="inlineStr">
        <is>
          <t>High Tickets WO</t>
        </is>
      </c>
      <c r="DW22">
        <f>SUM(DX22:EI22)</f>
        <v/>
      </c>
      <c r="EL22" s="2" t="inlineStr">
        <is>
          <t>High Tickets WO</t>
        </is>
      </c>
      <c r="EM22">
        <f>SUM(EN22:EY22)</f>
        <v/>
      </c>
    </row>
    <row r="24">
      <c r="B24" t="inlineStr">
        <is>
          <t>Comissão Colchão</t>
        </is>
      </c>
      <c r="C24">
        <f>SUM(D24:O24)</f>
        <v/>
      </c>
      <c r="R24" t="inlineStr">
        <is>
          <t>Comissão Colchão</t>
        </is>
      </c>
      <c r="S24">
        <f>SUM(T24:AE24)</f>
        <v/>
      </c>
      <c r="AG24" t="inlineStr">
        <is>
          <t>Comissão Colchão</t>
        </is>
      </c>
      <c r="AH24">
        <f>SUM(AI24:AT24)</f>
        <v/>
      </c>
      <c r="AW24" t="inlineStr">
        <is>
          <t>Comissão Colchão</t>
        </is>
      </c>
      <c r="AX24">
        <f>SUM(AY24:BJ24)</f>
        <v/>
      </c>
      <c r="BL24" t="inlineStr">
        <is>
          <t>Comissão Colchão</t>
        </is>
      </c>
      <c r="BM24">
        <f>SUM(BN24:BY24)</f>
        <v/>
      </c>
      <c r="CB24" t="inlineStr">
        <is>
          <t>Comissão Colchão</t>
        </is>
      </c>
      <c r="CC24">
        <f>SUM(CD24:CO24)</f>
        <v/>
      </c>
      <c r="CQ24" t="inlineStr">
        <is>
          <t>Comissão Colchão</t>
        </is>
      </c>
      <c r="CR24">
        <f>SUM(CS24:DD24)</f>
        <v/>
      </c>
      <c r="DG24" t="inlineStr">
        <is>
          <t>Comissão Colchão</t>
        </is>
      </c>
      <c r="DH24">
        <f>SUM(DI24:DT24)</f>
        <v/>
      </c>
      <c r="DV24" t="inlineStr">
        <is>
          <t>Comissão Colchão</t>
        </is>
      </c>
      <c r="DW24">
        <f>SUM(DX24:EI24)</f>
        <v/>
      </c>
      <c r="EL24" t="inlineStr">
        <is>
          <t>Comissão Colchão</t>
        </is>
      </c>
      <c r="EM24">
        <f>SUM(EN24:EY24)</f>
        <v/>
      </c>
    </row>
    <row r="26">
      <c r="B26" t="inlineStr">
        <is>
          <t>Comissão Total</t>
        </is>
      </c>
      <c r="C26">
        <f>SUM(D26:O26)</f>
        <v/>
      </c>
      <c r="R26" t="inlineStr">
        <is>
          <t>Comissão Total</t>
        </is>
      </c>
      <c r="S26">
        <f>SUM(T26:AE26)</f>
        <v/>
      </c>
      <c r="AG26" t="inlineStr">
        <is>
          <t>Comissão Total</t>
        </is>
      </c>
      <c r="AH26">
        <f>SUM(AI26:AT26)</f>
        <v/>
      </c>
      <c r="AW26" t="inlineStr">
        <is>
          <t>Comissão Total</t>
        </is>
      </c>
      <c r="AX26">
        <f>SUM(AY26:BJ26)</f>
        <v/>
      </c>
      <c r="BL26" t="inlineStr">
        <is>
          <t>Comissão Total</t>
        </is>
      </c>
      <c r="BM26">
        <f>SUM(BN26:BY26)</f>
        <v/>
      </c>
      <c r="CB26" t="inlineStr">
        <is>
          <t>Comissão Total</t>
        </is>
      </c>
      <c r="CC26">
        <f>SUM(CD26:CO26)</f>
        <v/>
      </c>
      <c r="CQ26" t="inlineStr">
        <is>
          <t>Comissão Total</t>
        </is>
      </c>
      <c r="CR26">
        <f>SUM(CS26:DD26)</f>
        <v/>
      </c>
      <c r="DG26" t="inlineStr">
        <is>
          <t>Comissão Total</t>
        </is>
      </c>
      <c r="DH26">
        <f>SUM(DI26:DT26)</f>
        <v/>
      </c>
      <c r="DV26" t="inlineStr">
        <is>
          <t>Comissão Total</t>
        </is>
      </c>
      <c r="DW26">
        <f>SUM(DX26:EI26)</f>
        <v/>
      </c>
      <c r="EL26" t="inlineStr">
        <is>
          <t>Comissão Total</t>
        </is>
      </c>
      <c r="EM26">
        <f>SUM(EN26:EY26)</f>
        <v/>
      </c>
    </row>
    <row r="27">
      <c r="B27" t="inlineStr">
        <is>
          <t>Caixa</t>
        </is>
      </c>
      <c r="C27">
        <f>SUM(D27:O27)</f>
        <v/>
      </c>
      <c r="R27" t="inlineStr">
        <is>
          <t>Caixa</t>
        </is>
      </c>
      <c r="S27">
        <f>SUM(T27:AE27)</f>
        <v/>
      </c>
      <c r="AG27" t="inlineStr">
        <is>
          <t>Caixa</t>
        </is>
      </c>
      <c r="AH27">
        <f>SUM(AI27:AT27)</f>
        <v/>
      </c>
      <c r="AW27" t="inlineStr">
        <is>
          <t>Caixa</t>
        </is>
      </c>
      <c r="AX27">
        <f>SUM(AY27:BJ27)</f>
        <v/>
      </c>
      <c r="BL27" t="inlineStr">
        <is>
          <t>Caixa</t>
        </is>
      </c>
      <c r="BM27">
        <f>SUM(BN27:BY27)</f>
        <v/>
      </c>
      <c r="CB27" t="inlineStr">
        <is>
          <t>Caixa</t>
        </is>
      </c>
      <c r="CC27">
        <f>SUM(CD27:CO27)</f>
        <v/>
      </c>
      <c r="CQ27" t="inlineStr">
        <is>
          <t>Caixa</t>
        </is>
      </c>
      <c r="CR27">
        <f>SUM(CS27:DD27)</f>
        <v/>
      </c>
      <c r="DG27" t="inlineStr">
        <is>
          <t>Caixa</t>
        </is>
      </c>
      <c r="DH27">
        <f>SUM(DI27:DT27)</f>
        <v/>
      </c>
      <c r="DV27" t="inlineStr">
        <is>
          <t>Caixa</t>
        </is>
      </c>
      <c r="DW27">
        <f>SUM(DX27:EI27)</f>
        <v/>
      </c>
      <c r="EL27" t="inlineStr">
        <is>
          <t>Caixa</t>
        </is>
      </c>
      <c r="EM27">
        <f>SUM(EN27:EY27)</f>
        <v/>
      </c>
    </row>
    <row r="28">
      <c r="B28" t="inlineStr">
        <is>
          <t>Caixa N.N</t>
        </is>
      </c>
      <c r="C28">
        <f>SUM(D28:O28)</f>
        <v/>
      </c>
      <c r="R28" t="inlineStr">
        <is>
          <t>Caixa N.N</t>
        </is>
      </c>
      <c r="S28">
        <f>SUM(T28:AE28)</f>
        <v/>
      </c>
      <c r="AG28" t="inlineStr">
        <is>
          <t>Caixa N.N</t>
        </is>
      </c>
      <c r="AH28">
        <f>SUM(AI28:AT28)</f>
        <v/>
      </c>
      <c r="AW28" t="inlineStr">
        <is>
          <t>Caixa N.N</t>
        </is>
      </c>
      <c r="AX28">
        <f>SUM(AY28:BJ28)</f>
        <v/>
      </c>
      <c r="BL28" t="inlineStr">
        <is>
          <t>Caixa N.N</t>
        </is>
      </c>
      <c r="BM28">
        <f>SUM(BN28:BY28)</f>
        <v/>
      </c>
      <c r="CB28" t="inlineStr">
        <is>
          <t>Caixa N.N</t>
        </is>
      </c>
      <c r="CC28">
        <f>SUM(CD28:CO28)</f>
        <v/>
      </c>
      <c r="CQ28" t="inlineStr">
        <is>
          <t>Caixa N.N</t>
        </is>
      </c>
      <c r="CR28">
        <f>SUM(CS28:DD28)</f>
        <v/>
      </c>
      <c r="DG28" t="inlineStr">
        <is>
          <t>Caixa N.N</t>
        </is>
      </c>
      <c r="DH28">
        <f>SUM(DI28:DT28)</f>
        <v/>
      </c>
      <c r="DV28" t="inlineStr">
        <is>
          <t>Caixa N.N</t>
        </is>
      </c>
      <c r="DW28">
        <f>SUM(DX28:EI28)</f>
        <v/>
      </c>
      <c r="EL28" t="inlineStr">
        <is>
          <t>Caixa N.N</t>
        </is>
      </c>
      <c r="EM28">
        <f>SUM(EN28:EY28)</f>
        <v/>
      </c>
    </row>
    <row r="29">
      <c r="B29" t="inlineStr">
        <is>
          <t>Caixa Colchão</t>
        </is>
      </c>
      <c r="C29">
        <f>SUM(D29:O29)</f>
        <v/>
      </c>
      <c r="R29" t="inlineStr">
        <is>
          <t>Caixa Colchão</t>
        </is>
      </c>
      <c r="S29">
        <f>SUM(T29:AE29)</f>
        <v/>
      </c>
      <c r="AG29" t="inlineStr">
        <is>
          <t>Caixa Colchão</t>
        </is>
      </c>
      <c r="AH29">
        <f>SUM(AI29:AT29)</f>
        <v/>
      </c>
      <c r="AW29" t="inlineStr">
        <is>
          <t>Caixa Colchão</t>
        </is>
      </c>
      <c r="AX29">
        <f>SUM(AY29:BJ29)</f>
        <v/>
      </c>
      <c r="BL29" t="inlineStr">
        <is>
          <t>Caixa Colchão</t>
        </is>
      </c>
      <c r="BM29">
        <f>SUM(BN29:BY29)</f>
        <v/>
      </c>
      <c r="CB29" t="inlineStr">
        <is>
          <t>Caixa Colchão</t>
        </is>
      </c>
      <c r="CC29">
        <f>SUM(CD29:CO29)</f>
        <v/>
      </c>
      <c r="CQ29" t="inlineStr">
        <is>
          <t>Caixa Colchão</t>
        </is>
      </c>
      <c r="CR29">
        <f>SUM(CS29:DD29)</f>
        <v/>
      </c>
      <c r="DG29" t="inlineStr">
        <is>
          <t>Caixa Colchão</t>
        </is>
      </c>
      <c r="DH29">
        <f>SUM(DI29:DT29)</f>
        <v/>
      </c>
      <c r="DV29" t="inlineStr">
        <is>
          <t>Caixa Colchão</t>
        </is>
      </c>
      <c r="DW29">
        <f>SUM(DX29:EI29)</f>
        <v/>
      </c>
      <c r="EL29" t="inlineStr">
        <is>
          <t>Caixa Colchão</t>
        </is>
      </c>
      <c r="EM29">
        <f>SUM(EN29:EY29)</f>
        <v/>
      </c>
    </row>
    <row r="30">
      <c r="B30" t="inlineStr">
        <is>
          <t>Comissão/caixa</t>
        </is>
      </c>
      <c r="C30">
        <f>SUM(D30:O30)</f>
        <v/>
      </c>
      <c r="R30" t="inlineStr">
        <is>
          <t>Comissão/caixa</t>
        </is>
      </c>
      <c r="S30">
        <f>SUM(T30:AE30)</f>
        <v/>
      </c>
      <c r="AG30" t="inlineStr">
        <is>
          <t>Comissão/caixa</t>
        </is>
      </c>
      <c r="AH30">
        <f>SUM(AI30:AT30)</f>
        <v/>
      </c>
      <c r="AW30" t="inlineStr">
        <is>
          <t>Comissão/caixa</t>
        </is>
      </c>
      <c r="AX30">
        <f>SUM(AY30:BJ30)</f>
        <v/>
      </c>
      <c r="BL30" t="inlineStr">
        <is>
          <t>Comissão/caixa</t>
        </is>
      </c>
      <c r="BM30">
        <f>SUM(BN30:BY30)</f>
        <v/>
      </c>
      <c r="CB30" t="inlineStr">
        <is>
          <t>Comissão/caixa</t>
        </is>
      </c>
      <c r="CC30">
        <f>SUM(CD30:CO30)</f>
        <v/>
      </c>
      <c r="CQ30" t="inlineStr">
        <is>
          <t>Comissão/caixa</t>
        </is>
      </c>
      <c r="CR30">
        <f>SUM(CS30:DD30)</f>
        <v/>
      </c>
      <c r="DG30" t="inlineStr">
        <is>
          <t>Comissão/caixa</t>
        </is>
      </c>
      <c r="DH30">
        <f>SUM(DI30:DT30)</f>
        <v/>
      </c>
      <c r="DV30" t="inlineStr">
        <is>
          <t>Comissão/caixa</t>
        </is>
      </c>
      <c r="DW30">
        <f>SUM(DX30:EI30)</f>
        <v/>
      </c>
      <c r="EL30" t="inlineStr">
        <is>
          <t>Comissão/caixa</t>
        </is>
      </c>
      <c r="EM30">
        <f>SUM(EN30:EY30)</f>
        <v/>
      </c>
    </row>
    <row r="31">
      <c r="B31" t="inlineStr">
        <is>
          <t>Receita Bruta</t>
        </is>
      </c>
      <c r="C31">
        <f>SUM(D31:O31)</f>
        <v/>
      </c>
      <c r="R31" t="inlineStr">
        <is>
          <t>Receita Bruta</t>
        </is>
      </c>
      <c r="S31">
        <f>SUM(T31:AE31)</f>
        <v/>
      </c>
      <c r="AG31" t="inlineStr">
        <is>
          <t>Receita Bruta</t>
        </is>
      </c>
      <c r="AH31">
        <f>SUM(AI31:AT31)</f>
        <v/>
      </c>
      <c r="AW31" t="inlineStr">
        <is>
          <t>Receita Bruta</t>
        </is>
      </c>
      <c r="AX31">
        <f>SUM(AY31:BJ31)</f>
        <v/>
      </c>
      <c r="BL31" t="inlineStr">
        <is>
          <t>Receita Bruta</t>
        </is>
      </c>
      <c r="BM31">
        <f>SUM(BN31:BY31)</f>
        <v/>
      </c>
      <c r="CB31" t="inlineStr">
        <is>
          <t>Receita Bruta</t>
        </is>
      </c>
      <c r="CC31">
        <f>SUM(CD31:CO31)</f>
        <v/>
      </c>
      <c r="CQ31" t="inlineStr">
        <is>
          <t>Receita Bruta</t>
        </is>
      </c>
      <c r="CR31">
        <f>SUM(CS31:DD31)</f>
        <v/>
      </c>
      <c r="DG31" t="inlineStr">
        <is>
          <t>Receita Bruta</t>
        </is>
      </c>
      <c r="DH31">
        <f>SUM(DI31:DT31)</f>
        <v/>
      </c>
      <c r="DV31" t="inlineStr">
        <is>
          <t>Receita Bruta</t>
        </is>
      </c>
      <c r="DW31">
        <f>SUM(DX31:EI31)</f>
        <v/>
      </c>
      <c r="EL31" t="inlineStr">
        <is>
          <t>Receita Bruta</t>
        </is>
      </c>
      <c r="EM31">
        <f>SUM(EN31:EY31)</f>
        <v/>
      </c>
    </row>
    <row r="32">
      <c r="B32" t="inlineStr">
        <is>
          <t>Operadores (média)</t>
        </is>
      </c>
      <c r="C32">
        <f>SUM(D32:O32)</f>
        <v/>
      </c>
      <c r="R32" t="inlineStr">
        <is>
          <t>Operadores (média)</t>
        </is>
      </c>
      <c r="S32">
        <f>SUM(T32:AE32)</f>
        <v/>
      </c>
      <c r="AG32" t="inlineStr">
        <is>
          <t>Operadores (média)</t>
        </is>
      </c>
      <c r="AH32">
        <f>SUM(AI32:AT32)</f>
        <v/>
      </c>
      <c r="AW32" t="inlineStr">
        <is>
          <t>Operadores (média)</t>
        </is>
      </c>
      <c r="AX32">
        <f>SUM(AY32:BJ32)</f>
        <v/>
      </c>
      <c r="BL32" t="inlineStr">
        <is>
          <t>Operadores (média)</t>
        </is>
      </c>
      <c r="BM32">
        <f>SUM(BN32:BY32)</f>
        <v/>
      </c>
      <c r="CB32" t="inlineStr">
        <is>
          <t>Operadores (média)</t>
        </is>
      </c>
      <c r="CC32">
        <f>SUM(CD32:CO32)</f>
        <v/>
      </c>
      <c r="CQ32" t="inlineStr">
        <is>
          <t>Operadores (média)</t>
        </is>
      </c>
      <c r="CR32">
        <f>SUM(CS32:DD32)</f>
        <v/>
      </c>
      <c r="DG32" t="inlineStr">
        <is>
          <t>Operadores (média)</t>
        </is>
      </c>
      <c r="DH32">
        <f>SUM(DI32:DT32)</f>
        <v/>
      </c>
      <c r="DV32" t="inlineStr">
        <is>
          <t>Operadores (média)</t>
        </is>
      </c>
      <c r="DW32">
        <f>SUM(DX32:EI32)</f>
        <v/>
      </c>
      <c r="EL32" t="inlineStr">
        <is>
          <t>Operadores (média)</t>
        </is>
      </c>
      <c r="EM32">
        <f>SUM(EN32:EY32)</f>
        <v/>
      </c>
    </row>
    <row r="33">
      <c r="B33" t="inlineStr">
        <is>
          <t>Comissão /Operador</t>
        </is>
      </c>
      <c r="C33">
        <f>SUM(D33:O33)</f>
        <v/>
      </c>
      <c r="R33" t="inlineStr">
        <is>
          <t>Comissão /Operador</t>
        </is>
      </c>
      <c r="S33">
        <f>SUM(T33:AE33)</f>
        <v/>
      </c>
      <c r="AG33" t="inlineStr">
        <is>
          <t>Comissão /Operador</t>
        </is>
      </c>
      <c r="AH33">
        <f>SUM(AI33:AT33)</f>
        <v/>
      </c>
      <c r="AW33" t="inlineStr">
        <is>
          <t>Comissão /Operador</t>
        </is>
      </c>
      <c r="AX33">
        <f>SUM(AY33:BJ33)</f>
        <v/>
      </c>
      <c r="BL33" t="inlineStr">
        <is>
          <t>Comissão /Operador</t>
        </is>
      </c>
      <c r="BM33">
        <f>SUM(BN33:BY33)</f>
        <v/>
      </c>
      <c r="CB33" t="inlineStr">
        <is>
          <t>Comissão /Operador</t>
        </is>
      </c>
      <c r="CC33">
        <f>SUM(CD33:CO33)</f>
        <v/>
      </c>
      <c r="CQ33" t="inlineStr">
        <is>
          <t>Comissão /Operador</t>
        </is>
      </c>
      <c r="CR33">
        <f>SUM(CS33:DD33)</f>
        <v/>
      </c>
      <c r="DG33" t="inlineStr">
        <is>
          <t>Comissão /Operador</t>
        </is>
      </c>
      <c r="DH33">
        <f>SUM(DI33:DT33)</f>
        <v/>
      </c>
      <c r="DV33" t="inlineStr">
        <is>
          <t>Comissão /Operador</t>
        </is>
      </c>
      <c r="DW33">
        <f>SUM(DX33:EI33)</f>
        <v/>
      </c>
      <c r="EL33" t="inlineStr">
        <is>
          <t>Comissão /Operador</t>
        </is>
      </c>
      <c r="EM33">
        <f>SUM(EN33:EY33)</f>
        <v/>
      </c>
    </row>
    <row r="34">
      <c r="B34" t="inlineStr">
        <is>
          <t>ICM Escritório</t>
        </is>
      </c>
      <c r="C34">
        <f>SUM(D34:O34)</f>
        <v/>
      </c>
      <c r="R34" t="inlineStr">
        <is>
          <t>ICM Escritório</t>
        </is>
      </c>
      <c r="S34">
        <f>SUM(T34:AE34)</f>
        <v/>
      </c>
      <c r="AG34" t="inlineStr">
        <is>
          <t>ICM Escritório</t>
        </is>
      </c>
      <c r="AH34">
        <f>SUM(AI34:AT34)</f>
        <v/>
      </c>
      <c r="AW34" t="inlineStr">
        <is>
          <t>ICM Escritório</t>
        </is>
      </c>
      <c r="AX34">
        <f>SUM(AY34:BJ34)</f>
        <v/>
      </c>
      <c r="BL34" t="inlineStr">
        <is>
          <t>ICM Escritório</t>
        </is>
      </c>
      <c r="BM34">
        <f>SUM(BN34:BY34)</f>
        <v/>
      </c>
      <c r="CB34" t="inlineStr">
        <is>
          <t>ICM Escritório</t>
        </is>
      </c>
      <c r="CC34">
        <f>SUM(CD34:CO34)</f>
        <v/>
      </c>
      <c r="CQ34" t="inlineStr">
        <is>
          <t>ICM Escritório</t>
        </is>
      </c>
      <c r="CR34">
        <f>SUM(CS34:DD34)</f>
        <v/>
      </c>
      <c r="DG34" t="inlineStr">
        <is>
          <t>ICM Escritório</t>
        </is>
      </c>
      <c r="DH34">
        <f>SUM(DI34:DT34)</f>
        <v/>
      </c>
      <c r="DV34" t="inlineStr">
        <is>
          <t>ICM Escritório</t>
        </is>
      </c>
      <c r="DW34">
        <f>SUM(DX34:EI34)</f>
        <v/>
      </c>
      <c r="EL34" t="inlineStr">
        <is>
          <t>ICM Escritório</t>
        </is>
      </c>
      <c r="EM34">
        <f>SUM(EN34:EY34)</f>
        <v/>
      </c>
    </row>
    <row r="35">
      <c r="B35" t="inlineStr">
        <is>
          <t>ICM Médio N.N</t>
        </is>
      </c>
      <c r="C35">
        <f>SUM(D35:O35)</f>
        <v/>
      </c>
      <c r="R35" t="inlineStr">
        <is>
          <t>ICM Médio N.N</t>
        </is>
      </c>
      <c r="S35">
        <f>SUM(T35:AE35)</f>
        <v/>
      </c>
      <c r="AG35" t="inlineStr">
        <is>
          <t>ICM Médio N.N</t>
        </is>
      </c>
      <c r="AH35">
        <f>SUM(AI35:AT35)</f>
        <v/>
      </c>
      <c r="AW35" t="inlineStr">
        <is>
          <t>ICM Médio N.N</t>
        </is>
      </c>
      <c r="AX35">
        <f>SUM(AY35:BJ35)</f>
        <v/>
      </c>
      <c r="BL35" t="inlineStr">
        <is>
          <t>ICM Médio N.N</t>
        </is>
      </c>
      <c r="BM35">
        <f>SUM(BN35:BY35)</f>
        <v/>
      </c>
      <c r="CB35" t="inlineStr">
        <is>
          <t>ICM Médio N.N</t>
        </is>
      </c>
      <c r="CC35">
        <f>SUM(CD35:CO35)</f>
        <v/>
      </c>
      <c r="CQ35" t="inlineStr">
        <is>
          <t>ICM Médio N.N</t>
        </is>
      </c>
      <c r="CR35">
        <f>SUM(CS35:DD35)</f>
        <v/>
      </c>
      <c r="DG35" t="inlineStr">
        <is>
          <t>ICM Médio N.N</t>
        </is>
      </c>
      <c r="DH35">
        <f>SUM(DI35:DT35)</f>
        <v/>
      </c>
      <c r="DV35" t="inlineStr">
        <is>
          <t>ICM Médio N.N</t>
        </is>
      </c>
      <c r="DW35">
        <f>SUM(DX35:EI35)</f>
        <v/>
      </c>
      <c r="EL35" t="inlineStr">
        <is>
          <t>ICM Médio N.N</t>
        </is>
      </c>
      <c r="EM35">
        <f>SUM(EN35:EY35)</f>
        <v/>
      </c>
    </row>
    <row r="36">
      <c r="B36" t="inlineStr">
        <is>
          <t>ICM Médio WO</t>
        </is>
      </c>
      <c r="C36">
        <f>SUM(D36:O36)</f>
        <v/>
      </c>
      <c r="R36" t="inlineStr">
        <is>
          <t>ICM Médio WO</t>
        </is>
      </c>
      <c r="S36">
        <f>SUM(T36:AE36)</f>
        <v/>
      </c>
      <c r="AG36" t="inlineStr">
        <is>
          <t>ICM Médio WO</t>
        </is>
      </c>
      <c r="AH36">
        <f>SUM(AI36:AT36)</f>
        <v/>
      </c>
      <c r="AW36" t="inlineStr">
        <is>
          <t>ICM Médio WO</t>
        </is>
      </c>
      <c r="AX36">
        <f>SUM(AY36:BJ36)</f>
        <v/>
      </c>
      <c r="BL36" t="inlineStr">
        <is>
          <t>ICM Médio WO</t>
        </is>
      </c>
      <c r="BM36">
        <f>SUM(BN36:BY36)</f>
        <v/>
      </c>
      <c r="CB36" t="inlineStr">
        <is>
          <t>ICM Médio WO</t>
        </is>
      </c>
      <c r="CC36">
        <f>SUM(CD36:CO36)</f>
        <v/>
      </c>
      <c r="CQ36" t="inlineStr">
        <is>
          <t>ICM Médio WO</t>
        </is>
      </c>
      <c r="CR36">
        <f>SUM(CS36:DD36)</f>
        <v/>
      </c>
      <c r="DG36" t="inlineStr">
        <is>
          <t>ICM Médio WO</t>
        </is>
      </c>
      <c r="DH36">
        <f>SUM(DI36:DT36)</f>
        <v/>
      </c>
      <c r="DV36" t="inlineStr">
        <is>
          <t>ICM Médio WO</t>
        </is>
      </c>
      <c r="DW36">
        <f>SUM(DX36:EI36)</f>
        <v/>
      </c>
      <c r="EL36" t="inlineStr">
        <is>
          <t>ICM Médio WO</t>
        </is>
      </c>
      <c r="EM36">
        <f>SUM(EN36:EY36)</f>
        <v/>
      </c>
    </row>
    <row r="37">
      <c r="B37" s="2" t="inlineStr">
        <is>
          <t>Ativa Silver</t>
        </is>
      </c>
      <c r="C37">
        <f>SUM(D37:O37)</f>
        <v/>
      </c>
      <c r="R37" s="2" t="inlineStr">
        <is>
          <t>Ativa Silver</t>
        </is>
      </c>
      <c r="S37">
        <f>SUM(T37:AE37)</f>
        <v/>
      </c>
      <c r="AG37" s="2" t="inlineStr">
        <is>
          <t>Ativa Silver</t>
        </is>
      </c>
      <c r="AH37">
        <f>SUM(AI37:AT37)</f>
        <v/>
      </c>
      <c r="AW37" s="2" t="inlineStr">
        <is>
          <t>Ativa Silver</t>
        </is>
      </c>
      <c r="AX37">
        <f>SUM(AY37:BJ37)</f>
        <v/>
      </c>
      <c r="BL37" s="2" t="inlineStr">
        <is>
          <t>Ativa Silver</t>
        </is>
      </c>
      <c r="BM37">
        <f>SUM(BN37:BY37)</f>
        <v/>
      </c>
      <c r="CB37" s="2" t="inlineStr">
        <is>
          <t>Ativa Silver</t>
        </is>
      </c>
      <c r="CC37">
        <f>SUM(CD37:CO37)</f>
        <v/>
      </c>
      <c r="CQ37" s="2" t="inlineStr">
        <is>
          <t>Ativa Silver</t>
        </is>
      </c>
      <c r="CR37">
        <f>SUM(CS37:DD37)</f>
        <v/>
      </c>
      <c r="DG37" s="2" t="inlineStr">
        <is>
          <t>Ativa Silver</t>
        </is>
      </c>
      <c r="DH37">
        <f>SUM(DI37:DT37)</f>
        <v/>
      </c>
      <c r="DV37" s="2" t="inlineStr">
        <is>
          <t>Ativa Silver</t>
        </is>
      </c>
      <c r="DW37">
        <f>SUM(DX37:EI37)</f>
        <v/>
      </c>
      <c r="EL37" s="2" t="inlineStr">
        <is>
          <t>Ativa Silver</t>
        </is>
      </c>
      <c r="EM37">
        <f>SUM(EN37:EY37)</f>
        <v/>
      </c>
    </row>
    <row r="38">
      <c r="B38" s="2" t="inlineStr">
        <is>
          <t>Ativa Gold</t>
        </is>
      </c>
      <c r="C38">
        <f>SUM(D38:O38)</f>
        <v/>
      </c>
      <c r="R38" s="2" t="inlineStr">
        <is>
          <t>Ativa Gold</t>
        </is>
      </c>
      <c r="S38">
        <f>SUM(T38:AE38)</f>
        <v/>
      </c>
      <c r="AG38" s="2" t="inlineStr">
        <is>
          <t>Ativa Gold</t>
        </is>
      </c>
      <c r="AH38">
        <f>SUM(AI38:AT38)</f>
        <v/>
      </c>
      <c r="AW38" s="2" t="inlineStr">
        <is>
          <t>Ativa Gold</t>
        </is>
      </c>
      <c r="AX38">
        <f>SUM(AY38:BJ38)</f>
        <v/>
      </c>
      <c r="BL38" s="2" t="inlineStr">
        <is>
          <t>Ativa Gold</t>
        </is>
      </c>
      <c r="BM38">
        <f>SUM(BN38:BY38)</f>
        <v/>
      </c>
      <c r="CB38" s="2" t="inlineStr">
        <is>
          <t>Ativa Gold</t>
        </is>
      </c>
      <c r="CC38">
        <f>SUM(CD38:CO38)</f>
        <v/>
      </c>
      <c r="CQ38" s="2" t="inlineStr">
        <is>
          <t>Ativa Gold</t>
        </is>
      </c>
      <c r="CR38">
        <f>SUM(CS38:DD38)</f>
        <v/>
      </c>
      <c r="DG38" s="2" t="inlineStr">
        <is>
          <t>Ativa Gold</t>
        </is>
      </c>
      <c r="DH38">
        <f>SUM(DI38:DT38)</f>
        <v/>
      </c>
      <c r="DV38" s="2" t="inlineStr">
        <is>
          <t>Ativa Gold</t>
        </is>
      </c>
      <c r="DW38">
        <f>SUM(DX38:EI38)</f>
        <v/>
      </c>
      <c r="EL38" s="2" t="inlineStr">
        <is>
          <t>Ativa Gold</t>
        </is>
      </c>
      <c r="EM38">
        <f>SUM(EN38:EY38)</f>
        <v/>
      </c>
    </row>
    <row r="39">
      <c r="B39" s="2" t="inlineStr">
        <is>
          <t>Business</t>
        </is>
      </c>
      <c r="C39">
        <f>SUM(D39:O39)</f>
        <v/>
      </c>
      <c r="R39" s="2" t="inlineStr">
        <is>
          <t>Business</t>
        </is>
      </c>
      <c r="S39">
        <f>SUM(T39:AE39)</f>
        <v/>
      </c>
      <c r="AG39" s="2" t="inlineStr">
        <is>
          <t>Business</t>
        </is>
      </c>
      <c r="AH39">
        <f>SUM(AI39:AT39)</f>
        <v/>
      </c>
      <c r="AW39" s="2" t="inlineStr">
        <is>
          <t>Business</t>
        </is>
      </c>
      <c r="AX39">
        <f>SUM(AY39:BJ39)</f>
        <v/>
      </c>
      <c r="BL39" s="2" t="inlineStr">
        <is>
          <t>Business</t>
        </is>
      </c>
      <c r="BM39">
        <f>SUM(BN39:BY39)</f>
        <v/>
      </c>
      <c r="CB39" s="2" t="inlineStr">
        <is>
          <t>Business</t>
        </is>
      </c>
      <c r="CC39">
        <f>SUM(CD39:CO39)</f>
        <v/>
      </c>
      <c r="CQ39" s="2" t="inlineStr">
        <is>
          <t>Business</t>
        </is>
      </c>
      <c r="CR39">
        <f>SUM(CS39:DD39)</f>
        <v/>
      </c>
      <c r="DG39" s="2" t="inlineStr">
        <is>
          <t>Business</t>
        </is>
      </c>
      <c r="DH39">
        <f>SUM(DI39:DT39)</f>
        <v/>
      </c>
      <c r="DV39" s="2" t="inlineStr">
        <is>
          <t>Business</t>
        </is>
      </c>
      <c r="DW39">
        <f>SUM(DX39:EI39)</f>
        <v/>
      </c>
      <c r="EL39" s="2" t="inlineStr">
        <is>
          <t>Business</t>
        </is>
      </c>
      <c r="EM39">
        <f>SUM(EN39:EY39)</f>
        <v/>
      </c>
    </row>
    <row r="40">
      <c r="B40" s="2" t="inlineStr">
        <is>
          <t>Platinum</t>
        </is>
      </c>
      <c r="C40">
        <f>SUM(D40:O40)</f>
        <v/>
      </c>
      <c r="R40" s="2" t="inlineStr">
        <is>
          <t>Platinum</t>
        </is>
      </c>
      <c r="S40">
        <f>SUM(T40:AE40)</f>
        <v/>
      </c>
      <c r="AG40" s="2" t="inlineStr">
        <is>
          <t>Platinum</t>
        </is>
      </c>
      <c r="AH40">
        <f>SUM(AI40:AT40)</f>
        <v/>
      </c>
      <c r="AW40" s="2" t="inlineStr">
        <is>
          <t>Platinum</t>
        </is>
      </c>
      <c r="AX40">
        <f>SUM(AY40:BJ40)</f>
        <v/>
      </c>
      <c r="BL40" s="2" t="inlineStr">
        <is>
          <t>Platinum</t>
        </is>
      </c>
      <c r="BM40">
        <f>SUM(BN40:BY40)</f>
        <v/>
      </c>
      <c r="CB40" s="2" t="inlineStr">
        <is>
          <t>Platinum</t>
        </is>
      </c>
      <c r="CC40">
        <f>SUM(CD40:CO40)</f>
        <v/>
      </c>
      <c r="CQ40" s="2" t="inlineStr">
        <is>
          <t>Platinum</t>
        </is>
      </c>
      <c r="CR40">
        <f>SUM(CS40:DD40)</f>
        <v/>
      </c>
      <c r="DG40" s="2" t="inlineStr">
        <is>
          <t>Platinum</t>
        </is>
      </c>
      <c r="DH40">
        <f>SUM(DI40:DT40)</f>
        <v/>
      </c>
      <c r="DV40" s="2" t="inlineStr">
        <is>
          <t>Platinum</t>
        </is>
      </c>
      <c r="DW40">
        <f>SUM(DX40:EI40)</f>
        <v/>
      </c>
      <c r="EL40" s="2" t="inlineStr">
        <is>
          <t>Platinum</t>
        </is>
      </c>
      <c r="EM40">
        <f>SUM(EN40:EY40)</f>
        <v/>
      </c>
    </row>
    <row r="41">
      <c r="B41" s="2" t="inlineStr">
        <is>
          <t>WO Silver</t>
        </is>
      </c>
      <c r="C41">
        <f>SUM(D41:O41)</f>
        <v/>
      </c>
      <c r="R41" s="2" t="inlineStr">
        <is>
          <t>WO Silver</t>
        </is>
      </c>
      <c r="S41">
        <f>SUM(T41:AE41)</f>
        <v/>
      </c>
      <c r="AG41" s="2" t="inlineStr">
        <is>
          <t>WO Silver</t>
        </is>
      </c>
      <c r="AH41">
        <f>SUM(AI41:AT41)</f>
        <v/>
      </c>
      <c r="AW41" s="2" t="inlineStr">
        <is>
          <t>WO Silver</t>
        </is>
      </c>
      <c r="AX41">
        <f>SUM(AY41:BJ41)</f>
        <v/>
      </c>
      <c r="BL41" s="2" t="inlineStr">
        <is>
          <t>WO Silver</t>
        </is>
      </c>
      <c r="BM41">
        <f>SUM(BN41:BY41)</f>
        <v/>
      </c>
      <c r="CB41" s="2" t="inlineStr">
        <is>
          <t>WO Silver</t>
        </is>
      </c>
      <c r="CC41">
        <f>SUM(CD41:CO41)</f>
        <v/>
      </c>
      <c r="CQ41" s="2" t="inlineStr">
        <is>
          <t>WO Silver</t>
        </is>
      </c>
      <c r="CR41">
        <f>SUM(CS41:DD41)</f>
        <v/>
      </c>
      <c r="DG41" s="2" t="inlineStr">
        <is>
          <t>WO Silver</t>
        </is>
      </c>
      <c r="DH41">
        <f>SUM(DI41:DT41)</f>
        <v/>
      </c>
      <c r="DV41" s="2" t="inlineStr">
        <is>
          <t>WO Silver</t>
        </is>
      </c>
      <c r="DW41">
        <f>SUM(DX41:EI41)</f>
        <v/>
      </c>
      <c r="EL41" s="2" t="inlineStr">
        <is>
          <t>WO Silver</t>
        </is>
      </c>
      <c r="EM41">
        <f>SUM(EN41:EY41)</f>
        <v/>
      </c>
    </row>
    <row r="42">
      <c r="B42" s="2" t="inlineStr">
        <is>
          <t>WO Gold</t>
        </is>
      </c>
      <c r="C42">
        <f>SUM(D42:O42)</f>
        <v/>
      </c>
      <c r="R42" s="2" t="inlineStr">
        <is>
          <t>WO Gold</t>
        </is>
      </c>
      <c r="S42">
        <f>SUM(T42:AE42)</f>
        <v/>
      </c>
      <c r="AG42" s="2" t="inlineStr">
        <is>
          <t>WO Gold</t>
        </is>
      </c>
      <c r="AH42">
        <f>SUM(AI42:AT42)</f>
        <v/>
      </c>
      <c r="AW42" s="2" t="inlineStr">
        <is>
          <t>WO Gold</t>
        </is>
      </c>
      <c r="AX42">
        <f>SUM(AY42:BJ42)</f>
        <v/>
      </c>
      <c r="BL42" s="2" t="inlineStr">
        <is>
          <t>WO Gold</t>
        </is>
      </c>
      <c r="BM42">
        <f>SUM(BN42:BY42)</f>
        <v/>
      </c>
      <c r="CB42" s="2" t="inlineStr">
        <is>
          <t>WO Gold</t>
        </is>
      </c>
      <c r="CC42">
        <f>SUM(CD42:CO42)</f>
        <v/>
      </c>
      <c r="CQ42" s="2" t="inlineStr">
        <is>
          <t>WO Gold</t>
        </is>
      </c>
      <c r="CR42">
        <f>SUM(CS42:DD42)</f>
        <v/>
      </c>
      <c r="DG42" s="2" t="inlineStr">
        <is>
          <t>WO Gold</t>
        </is>
      </c>
      <c r="DH42">
        <f>SUM(DI42:DT42)</f>
        <v/>
      </c>
      <c r="DV42" s="2" t="inlineStr">
        <is>
          <t>WO Gold</t>
        </is>
      </c>
      <c r="DW42">
        <f>SUM(DX42:EI42)</f>
        <v/>
      </c>
      <c r="EL42" s="2" t="inlineStr">
        <is>
          <t>WO Gold</t>
        </is>
      </c>
      <c r="EM42">
        <f>SUM(EN42:EY42)</f>
        <v/>
      </c>
    </row>
    <row r="43">
      <c r="B43" s="2" t="inlineStr">
        <is>
          <t>Low Tickets Ativo</t>
        </is>
      </c>
      <c r="C43">
        <f>SUM(D43:O43)</f>
        <v/>
      </c>
      <c r="R43" s="2" t="inlineStr">
        <is>
          <t>Low Tickets Ativo</t>
        </is>
      </c>
      <c r="S43">
        <f>SUM(T43:AE43)</f>
        <v/>
      </c>
      <c r="AG43" s="2" t="inlineStr">
        <is>
          <t>Low Tickets Ativo</t>
        </is>
      </c>
      <c r="AH43">
        <f>SUM(AI43:AT43)</f>
        <v/>
      </c>
      <c r="AW43" s="2" t="inlineStr">
        <is>
          <t>Low Tickets Ativo</t>
        </is>
      </c>
      <c r="AX43">
        <f>SUM(AY43:BJ43)</f>
        <v/>
      </c>
      <c r="BL43" s="2" t="inlineStr">
        <is>
          <t>Low Tickets Ativo</t>
        </is>
      </c>
      <c r="BM43">
        <f>SUM(BN43:BY43)</f>
        <v/>
      </c>
      <c r="CB43" s="2" t="inlineStr">
        <is>
          <t>Low Tickets Ativo</t>
        </is>
      </c>
      <c r="CC43">
        <f>SUM(CD43:CO43)</f>
        <v/>
      </c>
      <c r="CQ43" s="2" t="inlineStr">
        <is>
          <t>Low Tickets Ativo</t>
        </is>
      </c>
      <c r="CR43">
        <f>SUM(CS43:DD43)</f>
        <v/>
      </c>
      <c r="DG43" s="2" t="inlineStr">
        <is>
          <t>Low Tickets Ativo</t>
        </is>
      </c>
      <c r="DH43">
        <f>SUM(DI43:DT43)</f>
        <v/>
      </c>
      <c r="DV43" s="2" t="inlineStr">
        <is>
          <t>Low Tickets Ativo</t>
        </is>
      </c>
      <c r="DW43">
        <f>SUM(DX43:EI43)</f>
        <v/>
      </c>
      <c r="EL43" s="2" t="inlineStr">
        <is>
          <t>Low Tickets Ativo</t>
        </is>
      </c>
      <c r="EM43">
        <f>SUM(EN43:EY43)</f>
        <v/>
      </c>
    </row>
    <row r="44">
      <c r="B44" s="2" t="inlineStr">
        <is>
          <t>Standard</t>
        </is>
      </c>
      <c r="C44">
        <f>SUM(D44:O44)</f>
        <v/>
      </c>
      <c r="R44" s="2" t="inlineStr">
        <is>
          <t>Standard</t>
        </is>
      </c>
      <c r="S44">
        <f>SUM(T44:AE44)</f>
        <v/>
      </c>
      <c r="AG44" s="2" t="inlineStr">
        <is>
          <t>Standard</t>
        </is>
      </c>
      <c r="AH44">
        <f>SUM(AI44:AT44)</f>
        <v/>
      </c>
      <c r="AW44" s="2" t="inlineStr">
        <is>
          <t>Standard</t>
        </is>
      </c>
      <c r="AX44">
        <f>SUM(AY44:BJ44)</f>
        <v/>
      </c>
      <c r="BL44" s="2" t="inlineStr">
        <is>
          <t>Standard</t>
        </is>
      </c>
      <c r="BM44">
        <f>SUM(BN44:BY44)</f>
        <v/>
      </c>
      <c r="CB44" s="2" t="inlineStr">
        <is>
          <t>Standard</t>
        </is>
      </c>
      <c r="CC44">
        <f>SUM(CD44:CO44)</f>
        <v/>
      </c>
      <c r="CQ44" s="2" t="inlineStr">
        <is>
          <t>Standard</t>
        </is>
      </c>
      <c r="CR44">
        <f>SUM(CS44:DD44)</f>
        <v/>
      </c>
      <c r="DG44" s="2" t="inlineStr">
        <is>
          <t>Standard</t>
        </is>
      </c>
      <c r="DH44">
        <f>SUM(DI44:DT44)</f>
        <v/>
      </c>
      <c r="DV44" s="2" t="inlineStr">
        <is>
          <t>Standard</t>
        </is>
      </c>
      <c r="DW44">
        <f>SUM(DX44:EI44)</f>
        <v/>
      </c>
      <c r="EL44" s="2" t="inlineStr">
        <is>
          <t>Standard</t>
        </is>
      </c>
      <c r="EM44">
        <f>SUM(EN44:EY44)</f>
        <v/>
      </c>
    </row>
    <row r="45">
      <c r="B45" s="2" t="inlineStr">
        <is>
          <t>Advanced</t>
        </is>
      </c>
      <c r="C45">
        <f>SUM(D45:O45)</f>
        <v/>
      </c>
      <c r="R45" s="2" t="inlineStr">
        <is>
          <t>Advanced</t>
        </is>
      </c>
      <c r="S45">
        <f>SUM(T45:AE45)</f>
        <v/>
      </c>
      <c r="AG45" s="2" t="inlineStr">
        <is>
          <t>Advanced</t>
        </is>
      </c>
      <c r="AH45">
        <f>SUM(AI45:AT45)</f>
        <v/>
      </c>
      <c r="AW45" s="2" t="inlineStr">
        <is>
          <t>Advanced</t>
        </is>
      </c>
      <c r="AX45">
        <f>SUM(AY45:BJ45)</f>
        <v/>
      </c>
      <c r="BL45" s="2" t="inlineStr">
        <is>
          <t>Advanced</t>
        </is>
      </c>
      <c r="BM45">
        <f>SUM(BN45:BY45)</f>
        <v/>
      </c>
      <c r="CB45" s="2" t="inlineStr">
        <is>
          <t>Advanced</t>
        </is>
      </c>
      <c r="CC45">
        <f>SUM(CD45:CO45)</f>
        <v/>
      </c>
      <c r="CQ45" s="2" t="inlineStr">
        <is>
          <t>Advanced</t>
        </is>
      </c>
      <c r="CR45">
        <f>SUM(CS45:DD45)</f>
        <v/>
      </c>
      <c r="DG45" s="2" t="inlineStr">
        <is>
          <t>Advanced</t>
        </is>
      </c>
      <c r="DH45">
        <f>SUM(DI45:DT45)</f>
        <v/>
      </c>
      <c r="DV45" s="2" t="inlineStr">
        <is>
          <t>Advanced</t>
        </is>
      </c>
      <c r="DW45">
        <f>SUM(DX45:EI45)</f>
        <v/>
      </c>
      <c r="EL45" s="2" t="inlineStr">
        <is>
          <t>Advanced</t>
        </is>
      </c>
      <c r="EM45">
        <f>SUM(EN45:EY45)</f>
        <v/>
      </c>
    </row>
    <row r="46">
      <c r="B46" s="2" t="inlineStr">
        <is>
          <t>High Tickets Ativo</t>
        </is>
      </c>
      <c r="C46">
        <f>SUM(D46:O46)</f>
        <v/>
      </c>
      <c r="R46" s="2" t="inlineStr">
        <is>
          <t>High Tickets Ativo</t>
        </is>
      </c>
      <c r="S46">
        <f>SUM(T46:AE46)</f>
        <v/>
      </c>
      <c r="AG46" s="2" t="inlineStr">
        <is>
          <t>High Tickets Ativo</t>
        </is>
      </c>
      <c r="AH46">
        <f>SUM(AI46:AT46)</f>
        <v/>
      </c>
      <c r="AW46" s="2" t="inlineStr">
        <is>
          <t>High Tickets Ativo</t>
        </is>
      </c>
      <c r="AX46">
        <f>SUM(AY46:BJ46)</f>
        <v/>
      </c>
      <c r="BL46" s="2" t="inlineStr">
        <is>
          <t>High Tickets Ativo</t>
        </is>
      </c>
      <c r="BM46">
        <f>SUM(BN46:BY46)</f>
        <v/>
      </c>
      <c r="CB46" s="2" t="inlineStr">
        <is>
          <t>High Tickets Ativo</t>
        </is>
      </c>
      <c r="CC46">
        <f>SUM(CD46:CO46)</f>
        <v/>
      </c>
      <c r="CQ46" s="2" t="inlineStr">
        <is>
          <t>High Tickets Ativo</t>
        </is>
      </c>
      <c r="CR46">
        <f>SUM(CS46:DD46)</f>
        <v/>
      </c>
      <c r="DG46" s="2" t="inlineStr">
        <is>
          <t>High Tickets Ativo</t>
        </is>
      </c>
      <c r="DH46">
        <f>SUM(DI46:DT46)</f>
        <v/>
      </c>
      <c r="DV46" s="2" t="inlineStr">
        <is>
          <t>High Tickets Ativo</t>
        </is>
      </c>
      <c r="DW46">
        <f>SUM(DX46:EI46)</f>
        <v/>
      </c>
      <c r="EL46" s="2" t="inlineStr">
        <is>
          <t>High Tickets Ativo</t>
        </is>
      </c>
      <c r="EM46">
        <f>SUM(EN46:EY46)</f>
        <v/>
      </c>
    </row>
    <row r="47">
      <c r="B47" s="2" t="inlineStr">
        <is>
          <t>WO Antecipado</t>
        </is>
      </c>
      <c r="C47">
        <f>SUM(D47:O47)</f>
        <v/>
      </c>
      <c r="R47" s="2" t="inlineStr">
        <is>
          <t>WO Antecipado</t>
        </is>
      </c>
      <c r="S47">
        <f>SUM(T47:AE47)</f>
        <v/>
      </c>
      <c r="AG47" s="2" t="inlineStr">
        <is>
          <t>WO Antecipado</t>
        </is>
      </c>
      <c r="AH47">
        <f>SUM(AI47:AT47)</f>
        <v/>
      </c>
      <c r="AW47" s="2" t="inlineStr">
        <is>
          <t>WO Antecipado</t>
        </is>
      </c>
      <c r="AX47">
        <f>SUM(AY47:BJ47)</f>
        <v/>
      </c>
      <c r="BL47" s="2" t="inlineStr">
        <is>
          <t>WO Antecipado</t>
        </is>
      </c>
      <c r="BM47">
        <f>SUM(BN47:BY47)</f>
        <v/>
      </c>
      <c r="CB47" s="2" t="inlineStr">
        <is>
          <t>WO Antecipado</t>
        </is>
      </c>
      <c r="CC47">
        <f>SUM(CD47:CO47)</f>
        <v/>
      </c>
      <c r="CQ47" s="2" t="inlineStr">
        <is>
          <t>WO Antecipado</t>
        </is>
      </c>
      <c r="CR47">
        <f>SUM(CS47:DD47)</f>
        <v/>
      </c>
      <c r="DG47" s="2" t="inlineStr">
        <is>
          <t>WO Antecipado</t>
        </is>
      </c>
      <c r="DH47">
        <f>SUM(DI47:DT47)</f>
        <v/>
      </c>
      <c r="DV47" s="2" t="inlineStr">
        <is>
          <t>WO Antecipado</t>
        </is>
      </c>
      <c r="DW47">
        <f>SUM(DX47:EI47)</f>
        <v/>
      </c>
      <c r="EL47" s="2" t="inlineStr">
        <is>
          <t>WO Antecipado</t>
        </is>
      </c>
      <c r="EM47">
        <f>SUM(EN47:EY47)</f>
        <v/>
      </c>
    </row>
    <row r="48">
      <c r="B48" s="2" t="inlineStr">
        <is>
          <t>WO Produtivo</t>
        </is>
      </c>
      <c r="C48">
        <f>SUM(D48:O48)</f>
        <v/>
      </c>
      <c r="R48" s="2" t="inlineStr">
        <is>
          <t>WO Produtivo</t>
        </is>
      </c>
      <c r="S48">
        <f>SUM(T48:AE48)</f>
        <v/>
      </c>
      <c r="AG48" s="2" t="inlineStr">
        <is>
          <t>WO Produtivo</t>
        </is>
      </c>
      <c r="AH48">
        <f>SUM(AI48:AT48)</f>
        <v/>
      </c>
      <c r="AW48" s="2" t="inlineStr">
        <is>
          <t>WO Produtivo</t>
        </is>
      </c>
      <c r="AX48">
        <f>SUM(AY48:BJ48)</f>
        <v/>
      </c>
      <c r="BL48" s="2" t="inlineStr">
        <is>
          <t>WO Produtivo</t>
        </is>
      </c>
      <c r="BM48">
        <f>SUM(BN48:BY48)</f>
        <v/>
      </c>
      <c r="CB48" s="2" t="inlineStr">
        <is>
          <t>WO Produtivo</t>
        </is>
      </c>
      <c r="CC48">
        <f>SUM(CD48:CO48)</f>
        <v/>
      </c>
      <c r="CQ48" s="2" t="inlineStr">
        <is>
          <t>WO Produtivo</t>
        </is>
      </c>
      <c r="CR48">
        <f>SUM(CS48:DD48)</f>
        <v/>
      </c>
      <c r="DG48" s="2" t="inlineStr">
        <is>
          <t>WO Produtivo</t>
        </is>
      </c>
      <c r="DH48">
        <f>SUM(DI48:DT48)</f>
        <v/>
      </c>
      <c r="DV48" s="2" t="inlineStr">
        <is>
          <t>WO Produtivo</t>
        </is>
      </c>
      <c r="DW48">
        <f>SUM(DX48:EI48)</f>
        <v/>
      </c>
      <c r="EL48" s="2" t="inlineStr">
        <is>
          <t>WO Produtivo</t>
        </is>
      </c>
      <c r="EM48">
        <f>SUM(EN48:EY48)</f>
        <v/>
      </c>
    </row>
    <row r="49">
      <c r="B49" s="2" t="inlineStr">
        <is>
          <t>High Tickets WO</t>
        </is>
      </c>
      <c r="C49">
        <f>SUM(D49:O49)</f>
        <v/>
      </c>
      <c r="R49" s="2" t="inlineStr">
        <is>
          <t>High Tickets WO</t>
        </is>
      </c>
      <c r="S49">
        <f>SUM(T49:AE49)</f>
        <v/>
      </c>
      <c r="AG49" s="2" t="inlineStr">
        <is>
          <t>High Tickets WO</t>
        </is>
      </c>
      <c r="AH49">
        <f>SUM(AI49:AT49)</f>
        <v/>
      </c>
      <c r="AW49" s="2" t="inlineStr">
        <is>
          <t>High Tickets WO</t>
        </is>
      </c>
      <c r="AX49">
        <f>SUM(AY49:BJ49)</f>
        <v/>
      </c>
      <c r="BL49" s="2" t="inlineStr">
        <is>
          <t>High Tickets WO</t>
        </is>
      </c>
      <c r="BM49">
        <f>SUM(BN49:BY49)</f>
        <v/>
      </c>
      <c r="CB49" s="2" t="inlineStr">
        <is>
          <t>High Tickets WO</t>
        </is>
      </c>
      <c r="CC49">
        <f>SUM(CD49:CO49)</f>
        <v/>
      </c>
      <c r="CQ49" s="2" t="inlineStr">
        <is>
          <t>High Tickets WO</t>
        </is>
      </c>
      <c r="CR49">
        <f>SUM(CS49:DD49)</f>
        <v/>
      </c>
      <c r="DG49" s="2" t="inlineStr">
        <is>
          <t>High Tickets WO</t>
        </is>
      </c>
      <c r="DH49">
        <f>SUM(DI49:DT49)</f>
        <v/>
      </c>
      <c r="DV49" s="2" t="inlineStr">
        <is>
          <t>High Tickets WO</t>
        </is>
      </c>
      <c r="DW49">
        <f>SUM(DX49:EI49)</f>
        <v/>
      </c>
      <c r="EL49" s="2" t="inlineStr">
        <is>
          <t>High Tickets WO</t>
        </is>
      </c>
      <c r="EM49">
        <f>SUM(EN49:EY49)</f>
        <v/>
      </c>
    </row>
    <row r="51">
      <c r="B51" s="3" t="inlineStr">
        <is>
          <t>Comissão ICM 100% | N. Negócios</t>
        </is>
      </c>
      <c r="C51">
        <f>SUM(D51:O51)</f>
        <v/>
      </c>
      <c r="R51" s="3" t="inlineStr">
        <is>
          <t>Comissão ICM 100% | N. Negócios</t>
        </is>
      </c>
      <c r="S51">
        <f>SUM(T51:AE51)</f>
        <v/>
      </c>
      <c r="AG51" s="3" t="inlineStr">
        <is>
          <t>Comissão ICM 100% | N. Negócios</t>
        </is>
      </c>
      <c r="AH51">
        <f>SUM(AI51:AT51)</f>
        <v/>
      </c>
      <c r="AW51" s="3" t="inlineStr">
        <is>
          <t>Comissão ICM 100% | N. Negócios</t>
        </is>
      </c>
      <c r="AX51">
        <f>SUM(AY51:BJ51)</f>
        <v/>
      </c>
      <c r="BL51" s="3" t="inlineStr">
        <is>
          <t>Comissão ICM 100% | N. Negócios</t>
        </is>
      </c>
      <c r="BM51">
        <f>SUM(BN51:BY51)</f>
        <v/>
      </c>
      <c r="CB51" s="3" t="inlineStr">
        <is>
          <t>Comissão ICM 100% | N. Negócios</t>
        </is>
      </c>
      <c r="CC51">
        <f>SUM(CD51:CO51)</f>
        <v/>
      </c>
      <c r="CQ51" s="3" t="inlineStr">
        <is>
          <t>Comissão ICM 100% | N. Negócios</t>
        </is>
      </c>
      <c r="CR51">
        <f>SUM(CS51:DD51)</f>
        <v/>
      </c>
      <c r="DG51" s="3" t="inlineStr">
        <is>
          <t>Comissão ICM 100% | N. Negócios</t>
        </is>
      </c>
      <c r="DH51">
        <f>SUM(DI51:DT51)</f>
        <v/>
      </c>
      <c r="DV51" s="3" t="inlineStr">
        <is>
          <t>Comissão ICM 100% | N. Negócios</t>
        </is>
      </c>
      <c r="DW51">
        <f>SUM(DX51:EI51)</f>
        <v/>
      </c>
      <c r="EL51" s="3" t="inlineStr">
        <is>
          <t>Comissão ICM 100% | N. Negócios</t>
        </is>
      </c>
      <c r="EM51">
        <f>SUM(EN51:EY51)</f>
        <v/>
      </c>
    </row>
    <row r="52">
      <c r="B52" s="2" t="inlineStr">
        <is>
          <t>Ativa Silver</t>
        </is>
      </c>
      <c r="C52">
        <f>SUM(D52:O52)</f>
        <v/>
      </c>
      <c r="R52" s="2" t="inlineStr">
        <is>
          <t>Ativa Silver</t>
        </is>
      </c>
      <c r="S52">
        <f>SUM(T52:AE52)</f>
        <v/>
      </c>
      <c r="AG52" s="2" t="inlineStr">
        <is>
          <t>Ativa Silver</t>
        </is>
      </c>
      <c r="AH52">
        <f>SUM(AI52:AT52)</f>
        <v/>
      </c>
      <c r="AW52" s="2" t="inlineStr">
        <is>
          <t>Ativa Silver</t>
        </is>
      </c>
      <c r="AX52">
        <f>SUM(AY52:BJ52)</f>
        <v/>
      </c>
      <c r="BL52" s="2" t="inlineStr">
        <is>
          <t>Ativa Silver</t>
        </is>
      </c>
      <c r="BM52">
        <f>SUM(BN52:BY52)</f>
        <v/>
      </c>
      <c r="CB52" s="2" t="inlineStr">
        <is>
          <t>Ativa Silver</t>
        </is>
      </c>
      <c r="CC52">
        <f>SUM(CD52:CO52)</f>
        <v/>
      </c>
      <c r="CQ52" s="2" t="inlineStr">
        <is>
          <t>Ativa Silver</t>
        </is>
      </c>
      <c r="CR52">
        <f>SUM(CS52:DD52)</f>
        <v/>
      </c>
      <c r="DG52" s="2" t="inlineStr">
        <is>
          <t>Ativa Silver</t>
        </is>
      </c>
      <c r="DH52">
        <f>SUM(DI52:DT52)</f>
        <v/>
      </c>
      <c r="DV52" s="2" t="inlineStr">
        <is>
          <t>Ativa Silver</t>
        </is>
      </c>
      <c r="DW52">
        <f>SUM(DX52:EI52)</f>
        <v/>
      </c>
      <c r="EL52" s="2" t="inlineStr">
        <is>
          <t>Ativa Silver</t>
        </is>
      </c>
      <c r="EM52">
        <f>SUM(EN52:EY52)</f>
        <v/>
      </c>
    </row>
    <row r="53">
      <c r="B53" s="2" t="inlineStr">
        <is>
          <t>Ativa Gold</t>
        </is>
      </c>
      <c r="C53">
        <f>SUM(D53:O53)</f>
        <v/>
      </c>
      <c r="R53" s="2" t="inlineStr">
        <is>
          <t>Ativa Gold</t>
        </is>
      </c>
      <c r="S53">
        <f>SUM(T53:AE53)</f>
        <v/>
      </c>
      <c r="AG53" s="2" t="inlineStr">
        <is>
          <t>Ativa Gold</t>
        </is>
      </c>
      <c r="AH53">
        <f>SUM(AI53:AT53)</f>
        <v/>
      </c>
      <c r="AW53" s="2" t="inlineStr">
        <is>
          <t>Ativa Gold</t>
        </is>
      </c>
      <c r="AX53">
        <f>SUM(AY53:BJ53)</f>
        <v/>
      </c>
      <c r="BL53" s="2" t="inlineStr">
        <is>
          <t>Ativa Gold</t>
        </is>
      </c>
      <c r="BM53">
        <f>SUM(BN53:BY53)</f>
        <v/>
      </c>
      <c r="CB53" s="2" t="inlineStr">
        <is>
          <t>Ativa Gold</t>
        </is>
      </c>
      <c r="CC53">
        <f>SUM(CD53:CO53)</f>
        <v/>
      </c>
      <c r="CQ53" s="2" t="inlineStr">
        <is>
          <t>Ativa Gold</t>
        </is>
      </c>
      <c r="CR53">
        <f>SUM(CS53:DD53)</f>
        <v/>
      </c>
      <c r="DG53" s="2" t="inlineStr">
        <is>
          <t>Ativa Gold</t>
        </is>
      </c>
      <c r="DH53">
        <f>SUM(DI53:DT53)</f>
        <v/>
      </c>
      <c r="DV53" s="2" t="inlineStr">
        <is>
          <t>Ativa Gold</t>
        </is>
      </c>
      <c r="DW53">
        <f>SUM(DX53:EI53)</f>
        <v/>
      </c>
      <c r="EL53" s="2" t="inlineStr">
        <is>
          <t>Ativa Gold</t>
        </is>
      </c>
      <c r="EM53">
        <f>SUM(EN53:EY53)</f>
        <v/>
      </c>
    </row>
    <row r="54">
      <c r="B54" s="2" t="inlineStr">
        <is>
          <t>Business</t>
        </is>
      </c>
      <c r="C54">
        <f>SUM(D54:O54)</f>
        <v/>
      </c>
      <c r="R54" s="2" t="inlineStr">
        <is>
          <t>Business</t>
        </is>
      </c>
      <c r="S54">
        <f>SUM(T54:AE54)</f>
        <v/>
      </c>
      <c r="AG54" s="2" t="inlineStr">
        <is>
          <t>Business</t>
        </is>
      </c>
      <c r="AH54">
        <f>SUM(AI54:AT54)</f>
        <v/>
      </c>
      <c r="AW54" s="2" t="inlineStr">
        <is>
          <t>Business</t>
        </is>
      </c>
      <c r="AX54">
        <f>SUM(AY54:BJ54)</f>
        <v/>
      </c>
      <c r="BL54" s="2" t="inlineStr">
        <is>
          <t>Business</t>
        </is>
      </c>
      <c r="BM54">
        <f>SUM(BN54:BY54)</f>
        <v/>
      </c>
      <c r="CB54" s="2" t="inlineStr">
        <is>
          <t>Business</t>
        </is>
      </c>
      <c r="CC54">
        <f>SUM(CD54:CO54)</f>
        <v/>
      </c>
      <c r="CQ54" s="2" t="inlineStr">
        <is>
          <t>Business</t>
        </is>
      </c>
      <c r="CR54">
        <f>SUM(CS54:DD54)</f>
        <v/>
      </c>
      <c r="DG54" s="2" t="inlineStr">
        <is>
          <t>Business</t>
        </is>
      </c>
      <c r="DH54">
        <f>SUM(DI54:DT54)</f>
        <v/>
      </c>
      <c r="DV54" s="2" t="inlineStr">
        <is>
          <t>Business</t>
        </is>
      </c>
      <c r="DW54">
        <f>SUM(DX54:EI54)</f>
        <v/>
      </c>
      <c r="EL54" s="2" t="inlineStr">
        <is>
          <t>Business</t>
        </is>
      </c>
      <c r="EM54">
        <f>SUM(EN54:EY54)</f>
        <v/>
      </c>
    </row>
    <row r="55">
      <c r="B55" s="2" t="inlineStr">
        <is>
          <t>Platinum</t>
        </is>
      </c>
      <c r="C55">
        <f>SUM(D55:O55)</f>
        <v/>
      </c>
      <c r="R55" s="2" t="inlineStr">
        <is>
          <t>Platinum</t>
        </is>
      </c>
      <c r="S55">
        <f>SUM(T55:AE55)</f>
        <v/>
      </c>
      <c r="AG55" s="2" t="inlineStr">
        <is>
          <t>Platinum</t>
        </is>
      </c>
      <c r="AH55">
        <f>SUM(AI55:AT55)</f>
        <v/>
      </c>
      <c r="AW55" s="2" t="inlineStr">
        <is>
          <t>Platinum</t>
        </is>
      </c>
      <c r="AX55">
        <f>SUM(AY55:BJ55)</f>
        <v/>
      </c>
      <c r="BL55" s="2" t="inlineStr">
        <is>
          <t>Platinum</t>
        </is>
      </c>
      <c r="BM55">
        <f>SUM(BN55:BY55)</f>
        <v/>
      </c>
      <c r="CB55" s="2" t="inlineStr">
        <is>
          <t>Platinum</t>
        </is>
      </c>
      <c r="CC55">
        <f>SUM(CD55:CO55)</f>
        <v/>
      </c>
      <c r="CQ55" s="2" t="inlineStr">
        <is>
          <t>Platinum</t>
        </is>
      </c>
      <c r="CR55">
        <f>SUM(CS55:DD55)</f>
        <v/>
      </c>
      <c r="DG55" s="2" t="inlineStr">
        <is>
          <t>Platinum</t>
        </is>
      </c>
      <c r="DH55">
        <f>SUM(DI55:DT55)</f>
        <v/>
      </c>
      <c r="DV55" s="2" t="inlineStr">
        <is>
          <t>Platinum</t>
        </is>
      </c>
      <c r="DW55">
        <f>SUM(DX55:EI55)</f>
        <v/>
      </c>
      <c r="EL55" s="2" t="inlineStr">
        <is>
          <t>Platinum</t>
        </is>
      </c>
      <c r="EM55">
        <f>SUM(EN55:EY55)</f>
        <v/>
      </c>
    </row>
    <row r="56">
      <c r="B56" s="2" t="inlineStr">
        <is>
          <t>WO Silver</t>
        </is>
      </c>
      <c r="C56">
        <f>SUM(D56:O56)</f>
        <v/>
      </c>
      <c r="R56" s="2" t="inlineStr">
        <is>
          <t>WO Silver</t>
        </is>
      </c>
      <c r="S56">
        <f>SUM(T56:AE56)</f>
        <v/>
      </c>
      <c r="AG56" s="2" t="inlineStr">
        <is>
          <t>WO Silver</t>
        </is>
      </c>
      <c r="AH56">
        <f>SUM(AI56:AT56)</f>
        <v/>
      </c>
      <c r="AW56" s="2" t="inlineStr">
        <is>
          <t>WO Silver</t>
        </is>
      </c>
      <c r="AX56">
        <f>SUM(AY56:BJ56)</f>
        <v/>
      </c>
      <c r="BL56" s="2" t="inlineStr">
        <is>
          <t>WO Silver</t>
        </is>
      </c>
      <c r="BM56">
        <f>SUM(BN56:BY56)</f>
        <v/>
      </c>
      <c r="CB56" s="2" t="inlineStr">
        <is>
          <t>WO Silver</t>
        </is>
      </c>
      <c r="CC56">
        <f>SUM(CD56:CO56)</f>
        <v/>
      </c>
      <c r="CQ56" s="2" t="inlineStr">
        <is>
          <t>WO Silver</t>
        </is>
      </c>
      <c r="CR56">
        <f>SUM(CS56:DD56)</f>
        <v/>
      </c>
      <c r="DG56" s="2" t="inlineStr">
        <is>
          <t>WO Silver</t>
        </is>
      </c>
      <c r="DH56">
        <f>SUM(DI56:DT56)</f>
        <v/>
      </c>
      <c r="DV56" s="2" t="inlineStr">
        <is>
          <t>WO Silver</t>
        </is>
      </c>
      <c r="DW56">
        <f>SUM(DX56:EI56)</f>
        <v/>
      </c>
      <c r="EL56" s="2" t="inlineStr">
        <is>
          <t>WO Silver</t>
        </is>
      </c>
      <c r="EM56">
        <f>SUM(EN56:EY56)</f>
        <v/>
      </c>
    </row>
    <row r="57">
      <c r="B57" s="2" t="inlineStr">
        <is>
          <t>WO Gold</t>
        </is>
      </c>
      <c r="C57">
        <f>SUM(D57:O57)</f>
        <v/>
      </c>
      <c r="R57" s="2" t="inlineStr">
        <is>
          <t>WO Gold</t>
        </is>
      </c>
      <c r="S57">
        <f>SUM(T57:AE57)</f>
        <v/>
      </c>
      <c r="AG57" s="2" t="inlineStr">
        <is>
          <t>WO Gold</t>
        </is>
      </c>
      <c r="AH57">
        <f>SUM(AI57:AT57)</f>
        <v/>
      </c>
      <c r="AW57" s="2" t="inlineStr">
        <is>
          <t>WO Gold</t>
        </is>
      </c>
      <c r="AX57">
        <f>SUM(AY57:BJ57)</f>
        <v/>
      </c>
      <c r="BL57" s="2" t="inlineStr">
        <is>
          <t>WO Gold</t>
        </is>
      </c>
      <c r="BM57">
        <f>SUM(BN57:BY57)</f>
        <v/>
      </c>
      <c r="CB57" s="2" t="inlineStr">
        <is>
          <t>WO Gold</t>
        </is>
      </c>
      <c r="CC57">
        <f>SUM(CD57:CO57)</f>
        <v/>
      </c>
      <c r="CQ57" s="2" t="inlineStr">
        <is>
          <t>WO Gold</t>
        </is>
      </c>
      <c r="CR57">
        <f>SUM(CS57:DD57)</f>
        <v/>
      </c>
      <c r="DG57" s="2" t="inlineStr">
        <is>
          <t>WO Gold</t>
        </is>
      </c>
      <c r="DH57">
        <f>SUM(DI57:DT57)</f>
        <v/>
      </c>
      <c r="DV57" s="2" t="inlineStr">
        <is>
          <t>WO Gold</t>
        </is>
      </c>
      <c r="DW57">
        <f>SUM(DX57:EI57)</f>
        <v/>
      </c>
      <c r="EL57" s="2" t="inlineStr">
        <is>
          <t>WO Gold</t>
        </is>
      </c>
      <c r="EM57">
        <f>SUM(EN57:EY57)</f>
        <v/>
      </c>
    </row>
    <row r="58">
      <c r="B58" s="2" t="inlineStr">
        <is>
          <t>Low Tickets Ativo</t>
        </is>
      </c>
      <c r="C58">
        <f>SUM(D58:O58)</f>
        <v/>
      </c>
      <c r="R58" s="2" t="inlineStr">
        <is>
          <t>Low Tickets Ativo</t>
        </is>
      </c>
      <c r="S58">
        <f>SUM(T58:AE58)</f>
        <v/>
      </c>
      <c r="AG58" s="2" t="inlineStr">
        <is>
          <t>Low Tickets Ativo</t>
        </is>
      </c>
      <c r="AH58">
        <f>SUM(AI58:AT58)</f>
        <v/>
      </c>
      <c r="AW58" s="2" t="inlineStr">
        <is>
          <t>Low Tickets Ativo</t>
        </is>
      </c>
      <c r="AX58">
        <f>SUM(AY58:BJ58)</f>
        <v/>
      </c>
      <c r="BL58" s="2" t="inlineStr">
        <is>
          <t>Low Tickets Ativo</t>
        </is>
      </c>
      <c r="BM58">
        <f>SUM(BN58:BY58)</f>
        <v/>
      </c>
      <c r="CB58" s="2" t="inlineStr">
        <is>
          <t>Low Tickets Ativo</t>
        </is>
      </c>
      <c r="CC58">
        <f>SUM(CD58:CO58)</f>
        <v/>
      </c>
      <c r="CQ58" s="2" t="inlineStr">
        <is>
          <t>Low Tickets Ativo</t>
        </is>
      </c>
      <c r="CR58">
        <f>SUM(CS58:DD58)</f>
        <v/>
      </c>
      <c r="DG58" s="2" t="inlineStr">
        <is>
          <t>Low Tickets Ativo</t>
        </is>
      </c>
      <c r="DH58">
        <f>SUM(DI58:DT58)</f>
        <v/>
      </c>
      <c r="DV58" s="2" t="inlineStr">
        <is>
          <t>Low Tickets Ativo</t>
        </is>
      </c>
      <c r="DW58">
        <f>SUM(DX58:EI58)</f>
        <v/>
      </c>
      <c r="EL58" s="2" t="inlineStr">
        <is>
          <t>Low Tickets Ativo</t>
        </is>
      </c>
      <c r="EM58">
        <f>SUM(EN58:EY58)</f>
        <v/>
      </c>
    </row>
    <row r="59">
      <c r="B59" s="2" t="inlineStr">
        <is>
          <t>Standard</t>
        </is>
      </c>
      <c r="C59">
        <f>SUM(D59:O59)</f>
        <v/>
      </c>
      <c r="R59" s="2" t="inlineStr">
        <is>
          <t>Standard</t>
        </is>
      </c>
      <c r="S59">
        <f>SUM(T59:AE59)</f>
        <v/>
      </c>
      <c r="AG59" s="2" t="inlineStr">
        <is>
          <t>Standard</t>
        </is>
      </c>
      <c r="AH59">
        <f>SUM(AI59:AT59)</f>
        <v/>
      </c>
      <c r="AW59" s="2" t="inlineStr">
        <is>
          <t>Standard</t>
        </is>
      </c>
      <c r="AX59">
        <f>SUM(AY59:BJ59)</f>
        <v/>
      </c>
      <c r="BL59" s="2" t="inlineStr">
        <is>
          <t>Standard</t>
        </is>
      </c>
      <c r="BM59">
        <f>SUM(BN59:BY59)</f>
        <v/>
      </c>
      <c r="CB59" s="2" t="inlineStr">
        <is>
          <t>Standard</t>
        </is>
      </c>
      <c r="CC59">
        <f>SUM(CD59:CO59)</f>
        <v/>
      </c>
      <c r="CQ59" s="2" t="inlineStr">
        <is>
          <t>Standard</t>
        </is>
      </c>
      <c r="CR59">
        <f>SUM(CS59:DD59)</f>
        <v/>
      </c>
      <c r="DG59" s="2" t="inlineStr">
        <is>
          <t>Standard</t>
        </is>
      </c>
      <c r="DH59">
        <f>SUM(DI59:DT59)</f>
        <v/>
      </c>
      <c r="DV59" s="2" t="inlineStr">
        <is>
          <t>Standard</t>
        </is>
      </c>
      <c r="DW59">
        <f>SUM(DX59:EI59)</f>
        <v/>
      </c>
      <c r="EL59" s="2" t="inlineStr">
        <is>
          <t>Standard</t>
        </is>
      </c>
      <c r="EM59">
        <f>SUM(EN59:EY59)</f>
        <v/>
      </c>
    </row>
    <row r="60">
      <c r="B60" s="2" t="inlineStr">
        <is>
          <t>Advanced</t>
        </is>
      </c>
      <c r="C60">
        <f>SUM(D60:O60)</f>
        <v/>
      </c>
      <c r="R60" s="2" t="inlineStr">
        <is>
          <t>Advanced</t>
        </is>
      </c>
      <c r="S60">
        <f>SUM(T60:AE60)</f>
        <v/>
      </c>
      <c r="AG60" s="2" t="inlineStr">
        <is>
          <t>Advanced</t>
        </is>
      </c>
      <c r="AH60">
        <f>SUM(AI60:AT60)</f>
        <v/>
      </c>
      <c r="AW60" s="2" t="inlineStr">
        <is>
          <t>Advanced</t>
        </is>
      </c>
      <c r="AX60">
        <f>SUM(AY60:BJ60)</f>
        <v/>
      </c>
      <c r="BL60" s="2" t="inlineStr">
        <is>
          <t>Advanced</t>
        </is>
      </c>
      <c r="BM60">
        <f>SUM(BN60:BY60)</f>
        <v/>
      </c>
      <c r="CB60" s="2" t="inlineStr">
        <is>
          <t>Advanced</t>
        </is>
      </c>
      <c r="CC60">
        <f>SUM(CD60:CO60)</f>
        <v/>
      </c>
      <c r="CQ60" s="2" t="inlineStr">
        <is>
          <t>Advanced</t>
        </is>
      </c>
      <c r="CR60">
        <f>SUM(CS60:DD60)</f>
        <v/>
      </c>
      <c r="DG60" s="2" t="inlineStr">
        <is>
          <t>Advanced</t>
        </is>
      </c>
      <c r="DH60">
        <f>SUM(DI60:DT60)</f>
        <v/>
      </c>
      <c r="DV60" s="2" t="inlineStr">
        <is>
          <t>Advanced</t>
        </is>
      </c>
      <c r="DW60">
        <f>SUM(DX60:EI60)</f>
        <v/>
      </c>
      <c r="EL60" s="2" t="inlineStr">
        <is>
          <t>Advanced</t>
        </is>
      </c>
      <c r="EM60">
        <f>SUM(EN60:EY60)</f>
        <v/>
      </c>
    </row>
    <row r="61">
      <c r="B61" s="2" t="inlineStr">
        <is>
          <t>High Tickets Ativo</t>
        </is>
      </c>
      <c r="C61">
        <f>SUM(D61:O61)</f>
        <v/>
      </c>
      <c r="R61" s="2" t="inlineStr">
        <is>
          <t>High Tickets Ativo</t>
        </is>
      </c>
      <c r="S61">
        <f>SUM(T61:AE61)</f>
        <v/>
      </c>
      <c r="AG61" s="2" t="inlineStr">
        <is>
          <t>High Tickets Ativo</t>
        </is>
      </c>
      <c r="AH61">
        <f>SUM(AI61:AT61)</f>
        <v/>
      </c>
      <c r="AW61" s="2" t="inlineStr">
        <is>
          <t>High Tickets Ativo</t>
        </is>
      </c>
      <c r="AX61">
        <f>SUM(AY61:BJ61)</f>
        <v/>
      </c>
      <c r="BL61" s="2" t="inlineStr">
        <is>
          <t>High Tickets Ativo</t>
        </is>
      </c>
      <c r="BM61">
        <f>SUM(BN61:BY61)</f>
        <v/>
      </c>
      <c r="CB61" s="2" t="inlineStr">
        <is>
          <t>High Tickets Ativo</t>
        </is>
      </c>
      <c r="CC61">
        <f>SUM(CD61:CO61)</f>
        <v/>
      </c>
      <c r="CQ61" s="2" t="inlineStr">
        <is>
          <t>High Tickets Ativo</t>
        </is>
      </c>
      <c r="CR61">
        <f>SUM(CS61:DD61)</f>
        <v/>
      </c>
      <c r="DG61" s="2" t="inlineStr">
        <is>
          <t>High Tickets Ativo</t>
        </is>
      </c>
      <c r="DH61">
        <f>SUM(DI61:DT61)</f>
        <v/>
      </c>
      <c r="DV61" s="2" t="inlineStr">
        <is>
          <t>High Tickets Ativo</t>
        </is>
      </c>
      <c r="DW61">
        <f>SUM(DX61:EI61)</f>
        <v/>
      </c>
      <c r="EL61" s="2" t="inlineStr">
        <is>
          <t>High Tickets Ativo</t>
        </is>
      </c>
      <c r="EM61">
        <f>SUM(EN61:EY61)</f>
        <v/>
      </c>
    </row>
    <row r="62">
      <c r="B62" s="2" t="inlineStr">
        <is>
          <t>WO Antecipado</t>
        </is>
      </c>
      <c r="C62">
        <f>SUM(D62:O62)</f>
        <v/>
      </c>
      <c r="R62" s="2" t="inlineStr">
        <is>
          <t>WO Antecipado</t>
        </is>
      </c>
      <c r="S62">
        <f>SUM(T62:AE62)</f>
        <v/>
      </c>
      <c r="AG62" s="2" t="inlineStr">
        <is>
          <t>WO Antecipado</t>
        </is>
      </c>
      <c r="AH62">
        <f>SUM(AI62:AT62)</f>
        <v/>
      </c>
      <c r="AW62" s="2" t="inlineStr">
        <is>
          <t>WO Antecipado</t>
        </is>
      </c>
      <c r="AX62">
        <f>SUM(AY62:BJ62)</f>
        <v/>
      </c>
      <c r="BL62" s="2" t="inlineStr">
        <is>
          <t>WO Antecipado</t>
        </is>
      </c>
      <c r="BM62">
        <f>SUM(BN62:BY62)</f>
        <v/>
      </c>
      <c r="CB62" s="2" t="inlineStr">
        <is>
          <t>WO Antecipado</t>
        </is>
      </c>
      <c r="CC62">
        <f>SUM(CD62:CO62)</f>
        <v/>
      </c>
      <c r="CQ62" s="2" t="inlineStr">
        <is>
          <t>WO Antecipado</t>
        </is>
      </c>
      <c r="CR62">
        <f>SUM(CS62:DD62)</f>
        <v/>
      </c>
      <c r="DG62" s="2" t="inlineStr">
        <is>
          <t>WO Antecipado</t>
        </is>
      </c>
      <c r="DH62">
        <f>SUM(DI62:DT62)</f>
        <v/>
      </c>
      <c r="DV62" s="2" t="inlineStr">
        <is>
          <t>WO Antecipado</t>
        </is>
      </c>
      <c r="DW62">
        <f>SUM(DX62:EI62)</f>
        <v/>
      </c>
      <c r="EL62" s="2" t="inlineStr">
        <is>
          <t>WO Antecipado</t>
        </is>
      </c>
      <c r="EM62">
        <f>SUM(EN62:EY62)</f>
        <v/>
      </c>
    </row>
    <row r="63">
      <c r="B63" s="2" t="inlineStr">
        <is>
          <t>WO Produtivo</t>
        </is>
      </c>
      <c r="C63">
        <f>SUM(D63:O63)</f>
        <v/>
      </c>
      <c r="R63" s="2" t="inlineStr">
        <is>
          <t>WO Produtivo</t>
        </is>
      </c>
      <c r="S63">
        <f>SUM(T63:AE63)</f>
        <v/>
      </c>
      <c r="AG63" s="2" t="inlineStr">
        <is>
          <t>WO Produtivo</t>
        </is>
      </c>
      <c r="AH63">
        <f>SUM(AI63:AT63)</f>
        <v/>
      </c>
      <c r="AW63" s="2" t="inlineStr">
        <is>
          <t>WO Produtivo</t>
        </is>
      </c>
      <c r="AX63">
        <f>SUM(AY63:BJ63)</f>
        <v/>
      </c>
      <c r="BL63" s="2" t="inlineStr">
        <is>
          <t>WO Produtivo</t>
        </is>
      </c>
      <c r="BM63">
        <f>SUM(BN63:BY63)</f>
        <v/>
      </c>
      <c r="CB63" s="2" t="inlineStr">
        <is>
          <t>WO Produtivo</t>
        </is>
      </c>
      <c r="CC63">
        <f>SUM(CD63:CO63)</f>
        <v/>
      </c>
      <c r="CQ63" s="2" t="inlineStr">
        <is>
          <t>WO Produtivo</t>
        </is>
      </c>
      <c r="CR63">
        <f>SUM(CS63:DD63)</f>
        <v/>
      </c>
      <c r="DG63" s="2" t="inlineStr">
        <is>
          <t>WO Produtivo</t>
        </is>
      </c>
      <c r="DH63">
        <f>SUM(DI63:DT63)</f>
        <v/>
      </c>
      <c r="DV63" s="2" t="inlineStr">
        <is>
          <t>WO Produtivo</t>
        </is>
      </c>
      <c r="DW63">
        <f>SUM(DX63:EI63)</f>
        <v/>
      </c>
      <c r="EL63" s="2" t="inlineStr">
        <is>
          <t>WO Produtivo</t>
        </is>
      </c>
      <c r="EM63">
        <f>SUM(EN63:EY63)</f>
        <v/>
      </c>
    </row>
    <row r="64">
      <c r="B64" s="2" t="inlineStr">
        <is>
          <t>High Tickets WO</t>
        </is>
      </c>
      <c r="C64">
        <f>SUM(D64:O64)</f>
        <v/>
      </c>
      <c r="R64" s="2" t="inlineStr">
        <is>
          <t>High Tickets WO</t>
        </is>
      </c>
      <c r="S64">
        <f>SUM(T64:AE64)</f>
        <v/>
      </c>
      <c r="AG64" s="2" t="inlineStr">
        <is>
          <t>High Tickets WO</t>
        </is>
      </c>
      <c r="AH64">
        <f>SUM(AI64:AT64)</f>
        <v/>
      </c>
      <c r="AW64" s="2" t="inlineStr">
        <is>
          <t>High Tickets WO</t>
        </is>
      </c>
      <c r="AX64">
        <f>SUM(AY64:BJ64)</f>
        <v/>
      </c>
      <c r="BL64" s="2" t="inlineStr">
        <is>
          <t>High Tickets WO</t>
        </is>
      </c>
      <c r="BM64">
        <f>SUM(BN64:BY64)</f>
        <v/>
      </c>
      <c r="CB64" s="2" t="inlineStr">
        <is>
          <t>High Tickets WO</t>
        </is>
      </c>
      <c r="CC64">
        <f>SUM(CD64:CO64)</f>
        <v/>
      </c>
      <c r="CQ64" s="2" t="inlineStr">
        <is>
          <t>High Tickets WO</t>
        </is>
      </c>
      <c r="CR64">
        <f>SUM(CS64:DD64)</f>
        <v/>
      </c>
      <c r="DG64" s="2" t="inlineStr">
        <is>
          <t>High Tickets WO</t>
        </is>
      </c>
      <c r="DH64">
        <f>SUM(DI64:DT64)</f>
        <v/>
      </c>
      <c r="DV64" s="2" t="inlineStr">
        <is>
          <t>High Tickets WO</t>
        </is>
      </c>
      <c r="DW64">
        <f>SUM(DX64:EI64)</f>
        <v/>
      </c>
      <c r="EL64" s="2" t="inlineStr">
        <is>
          <t>High Tickets WO</t>
        </is>
      </c>
      <c r="EM64">
        <f>SUM(EN64:EY64)</f>
        <v/>
      </c>
    </row>
    <row r="67">
      <c r="B67" s="2" t="inlineStr">
        <is>
          <t>Comissão Mês</t>
        </is>
      </c>
      <c r="C67">
        <f>SUM(D67:O67)</f>
        <v/>
      </c>
      <c r="R67" s="2" t="inlineStr">
        <is>
          <t>Comissão Mês</t>
        </is>
      </c>
      <c r="S67">
        <f>SUM(T67:AE67)</f>
        <v/>
      </c>
      <c r="AG67" s="2" t="inlineStr">
        <is>
          <t>Comissão Mês</t>
        </is>
      </c>
      <c r="AH67">
        <f>SUM(AI67:AT67)</f>
        <v/>
      </c>
      <c r="AW67" s="2" t="inlineStr">
        <is>
          <t>Comissão Mês</t>
        </is>
      </c>
      <c r="AX67">
        <f>SUM(AY67:BJ67)</f>
        <v/>
      </c>
      <c r="BL67" s="2" t="inlineStr">
        <is>
          <t>Comissão Mês</t>
        </is>
      </c>
      <c r="BM67">
        <f>SUM(BN67:BY67)</f>
        <v/>
      </c>
      <c r="CB67" s="2" t="inlineStr">
        <is>
          <t>Comissão Mês</t>
        </is>
      </c>
      <c r="CC67">
        <f>SUM(CD67:CO67)</f>
        <v/>
      </c>
      <c r="CQ67" s="2" t="inlineStr">
        <is>
          <t>Comissão Mês</t>
        </is>
      </c>
      <c r="CR67">
        <f>SUM(CS67:DD67)</f>
        <v/>
      </c>
      <c r="DG67" s="2" t="inlineStr">
        <is>
          <t>Comissão Mês</t>
        </is>
      </c>
      <c r="DH67">
        <f>SUM(DI67:DT67)</f>
        <v/>
      </c>
      <c r="DV67" s="2" t="inlineStr">
        <is>
          <t>Comissão Mês</t>
        </is>
      </c>
      <c r="DW67">
        <f>SUM(DX67:EI67)</f>
        <v/>
      </c>
      <c r="EL67" s="2" t="inlineStr">
        <is>
          <t>Comissão Mês</t>
        </is>
      </c>
      <c r="EM67">
        <f>SUM(EN67:EY67)</f>
        <v/>
      </c>
    </row>
    <row r="68">
      <c r="B68" s="2" t="inlineStr">
        <is>
          <t>Comissão p/Op com 100% ICM</t>
        </is>
      </c>
      <c r="C68">
        <f>SUM(D68:O68)</f>
        <v/>
      </c>
      <c r="R68" s="2" t="inlineStr">
        <is>
          <t>Comissão p/Op com 100% ICM</t>
        </is>
      </c>
      <c r="S68">
        <f>SUM(T68:AE68)</f>
        <v/>
      </c>
      <c r="AG68" s="2" t="inlineStr">
        <is>
          <t>Comissão p/Op com 100% ICM</t>
        </is>
      </c>
      <c r="AH68">
        <f>SUM(AI68:AT68)</f>
        <v/>
      </c>
      <c r="AW68" s="2" t="inlineStr">
        <is>
          <t>Comissão p/Op com 100% ICM</t>
        </is>
      </c>
      <c r="AX68">
        <f>SUM(AY68:BJ68)</f>
        <v/>
      </c>
      <c r="BL68" s="2" t="inlineStr">
        <is>
          <t>Comissão p/Op com 100% ICM</t>
        </is>
      </c>
      <c r="BM68">
        <f>SUM(BN68:BY68)</f>
        <v/>
      </c>
      <c r="CB68" s="2" t="inlineStr">
        <is>
          <t>Comissão p/Op com 100% ICM</t>
        </is>
      </c>
      <c r="CC68">
        <f>SUM(CD68:CO68)</f>
        <v/>
      </c>
      <c r="CQ68" s="2" t="inlineStr">
        <is>
          <t>Comissão p/Op com 100% ICM</t>
        </is>
      </c>
      <c r="CR68">
        <f>SUM(CS68:DD68)</f>
        <v/>
      </c>
      <c r="DG68" s="2" t="inlineStr">
        <is>
          <t>Comissão p/Op com 100% ICM</t>
        </is>
      </c>
      <c r="DH68">
        <f>SUM(DI68:DT68)</f>
        <v/>
      </c>
      <c r="DV68" s="2" t="inlineStr">
        <is>
          <t>Comissão p/Op com 100% ICM</t>
        </is>
      </c>
      <c r="DW68">
        <f>SUM(DX68:EI68)</f>
        <v/>
      </c>
      <c r="EL68" s="2" t="inlineStr">
        <is>
          <t>Comissão p/Op com 100% ICM</t>
        </is>
      </c>
      <c r="EM68">
        <f>SUM(EN68:EY68)</f>
        <v/>
      </c>
    </row>
    <row r="69">
      <c r="B69" s="2" t="inlineStr">
        <is>
          <t>Total (100% de ICM NN +Colchão)</t>
        </is>
      </c>
      <c r="C69">
        <f>SUM(D69:O69)</f>
        <v/>
      </c>
      <c r="R69" s="2" t="inlineStr">
        <is>
          <t>Total (100% de ICM NN +Colchão)</t>
        </is>
      </c>
      <c r="S69">
        <f>SUM(T69:AE69)</f>
        <v/>
      </c>
      <c r="AG69" s="2" t="inlineStr">
        <is>
          <t>Total (100% de ICM NN +Colchão)</t>
        </is>
      </c>
      <c r="AH69">
        <f>SUM(AI69:AT69)</f>
        <v/>
      </c>
      <c r="AW69" s="2" t="inlineStr">
        <is>
          <t>Total (100% de ICM NN +Colchão)</t>
        </is>
      </c>
      <c r="AX69">
        <f>SUM(AY69:BJ69)</f>
        <v/>
      </c>
      <c r="BL69" s="2" t="inlineStr">
        <is>
          <t>Total (100% de ICM NN +Colchão)</t>
        </is>
      </c>
      <c r="BM69">
        <f>SUM(BN69:BY69)</f>
        <v/>
      </c>
      <c r="CB69" s="2" t="inlineStr">
        <is>
          <t>Total (100% de ICM NN +Colchão)</t>
        </is>
      </c>
      <c r="CC69">
        <f>SUM(CD69:CO69)</f>
        <v/>
      </c>
      <c r="CQ69" s="2" t="inlineStr">
        <is>
          <t>Total (100% de ICM NN +Colchão)</t>
        </is>
      </c>
      <c r="CR69">
        <f>SUM(CS69:DD69)</f>
        <v/>
      </c>
      <c r="DG69" s="2" t="inlineStr">
        <is>
          <t>Total (100% de ICM NN +Colchão)</t>
        </is>
      </c>
      <c r="DH69">
        <f>SUM(DI69:DT69)</f>
        <v/>
      </c>
      <c r="DV69" s="2" t="inlineStr">
        <is>
          <t>Total (100% de ICM NN +Colchão)</t>
        </is>
      </c>
      <c r="DW69">
        <f>SUM(DX69:EI69)</f>
        <v/>
      </c>
      <c r="EL69" s="2" t="inlineStr">
        <is>
          <t>Total (100% de ICM NN +Colchão)</t>
        </is>
      </c>
      <c r="EM69">
        <f>SUM(EN69:EY69)</f>
        <v/>
      </c>
    </row>
    <row r="72">
      <c r="B72" s="3" t="inlineStr">
        <is>
          <t>Abertura Custos</t>
        </is>
      </c>
      <c r="R72" s="3" t="inlineStr">
        <is>
          <t>Abertura Custos</t>
        </is>
      </c>
      <c r="AG72" s="3" t="inlineStr">
        <is>
          <t>Abertura Custos</t>
        </is>
      </c>
      <c r="AW72" s="3" t="inlineStr">
        <is>
          <t>Abertura Custos</t>
        </is>
      </c>
      <c r="BL72" s="3" t="inlineStr">
        <is>
          <t>Abertura Custos</t>
        </is>
      </c>
      <c r="CB72" s="3" t="inlineStr">
        <is>
          <t>Abertura Custos</t>
        </is>
      </c>
      <c r="CQ72" s="3" t="inlineStr">
        <is>
          <t>Abertura Custos</t>
        </is>
      </c>
      <c r="DG72" s="3" t="inlineStr">
        <is>
          <t>Abertura Custos</t>
        </is>
      </c>
      <c r="DV72" s="3" t="inlineStr">
        <is>
          <t>Abertura Custos</t>
        </is>
      </c>
      <c r="EL72" s="3" t="inlineStr">
        <is>
          <t>Abertura Custos</t>
        </is>
      </c>
    </row>
    <row r="73">
      <c r="B73" s="3" t="inlineStr">
        <is>
          <t>Custo total</t>
        </is>
      </c>
      <c r="C73">
        <f>IFERROR(CHOOSE(MATCH($B$6,{"Ano Completo","1º Semestre","2º Semestre","1º Trimestre","2º Trimestre","3º Trimestre","4º Trimestre"},0),SUM(D73:O73),SUM(D73:I73),SUM(J73:O73),SUM(D73:F73),SUM(G73:I73),SUM(J73:L73),SUM(M73:O73)),0)</f>
        <v/>
      </c>
      <c r="R73" s="3" t="inlineStr">
        <is>
          <t>Custo total</t>
        </is>
      </c>
      <c r="S73">
        <f>IFERROR(CHOOSE(MATCH($R$6,{"Ano Completo","1º Semestre","2º Semestre","1º Trimestre","2º Trimestre","3º Trimestre","4º Trimestre"},0),SUM(T73:AE73),SUM(T73:Y73),SUM(Z73:AE73),SUM(T73:V73),SUM(W73:Y73),SUM(Z73:AB73),SUM(AC73:AE73)),0)</f>
        <v/>
      </c>
      <c r="AG73" s="3" t="inlineStr">
        <is>
          <t>Custo total</t>
        </is>
      </c>
      <c r="AH73">
        <f>IFERROR(CHOOSE(MATCH($AG$6,{"Ano Completo","1º Semestre","2º Semestre","1º Trimestre","2º Trimestre","3º Trimestre","4º Trimestre"},0),SUM(AI73:AT73),SUM(AI73:AN73),SUM(AO73:AT73),SUM(AI73:AK73),SUM(AL73:AN73),SUM(AO73:AQ73),SUM(AR73:AT73)),0)</f>
        <v/>
      </c>
      <c r="AW73" s="3" t="inlineStr">
        <is>
          <t>Custo total</t>
        </is>
      </c>
      <c r="AX73">
        <f>IFERROR(CHOOSE(MATCH($AW$6,{"Ano Completo","1º Semestre","2º Semestre","1º Trimestre","2º Trimestre","3º Trimestre","4º Trimestre"},0),SUM(AY73:BJ73),SUM(AY73:BD73),SUM(BE73:BJ73),SUM(AY73:BA73),SUM(BB73:BD73),SUM(BE73:BG73),SUM(BH73:BJ73)),0)</f>
        <v/>
      </c>
      <c r="BL73" s="3" t="inlineStr">
        <is>
          <t>Custo total</t>
        </is>
      </c>
      <c r="BM73">
        <f>IFERROR(CHOOSE(MATCH($BL$6,{"Ano Completo","1º Semestre","2º Semestre","1º Trimestre","2º Trimestre","3º Trimestre","4º Trimestre"},0),SUM(BN73:BY73),SUM(BN73:BS73),SUM(BT73:BY73),SUM(BN73:BP73),SUM(BQ73:BS73),SUM(BT73:BV73),SUM(BW73:BY73)),0)</f>
        <v/>
      </c>
      <c r="CB73" s="3" t="inlineStr">
        <is>
          <t>Custo total</t>
        </is>
      </c>
      <c r="CC73">
        <f>IFERROR(CHOOSE(MATCH($CB$6,{"Ano Completo","1º Semestre","2º Semestre","1º Trimestre","2º Trimestre","3º Trimestre","4º Trimestre"},0),SUM(CD73:CO73),SUM(CD73:CI73),SUM(CJ73:CO73),SUM(CD73:CF73),SUM(CG73:CI73),SUM(CJ73:CL73),SUM(CM73:CO73)),0)</f>
        <v/>
      </c>
      <c r="CQ73" s="3" t="inlineStr">
        <is>
          <t>Custo total</t>
        </is>
      </c>
      <c r="CR73">
        <f>IFERROR(CHOOSE(MATCH($CQ$6,{"Ano Completo","1º Semestre","2º Semestre","1º Trimestre","2º Trimestre","3º Trimestre","4º Trimestre"},0),SUM(CS73:DD73),SUM(CS73:CX73),SUM(CY73:DD73),SUM(CS73:CU73),SUM(CV73:CX73),SUM(CY73:DA73),SUM(DB73:DD73)),0)</f>
        <v/>
      </c>
      <c r="DG73" s="3" t="inlineStr">
        <is>
          <t>Custo total</t>
        </is>
      </c>
      <c r="DH73">
        <f>IFERROR(CHOOSE(MATCH($DG$6,{"Ano Completo","1º Semestre","2º Semestre","1º Trimestre","2º Trimestre","3º Trimestre","4º Trimestre"},0),SUM(DI73:DT73),SUM(DI73:DN73),SUM(DO73:DT73),SUM(DI73:DK73),SUM(DL73:DN73),SUM(DO73:DQ73),SUM(DR73:DT73)),0)</f>
        <v/>
      </c>
      <c r="DV73" s="3" t="inlineStr">
        <is>
          <t>Custo total</t>
        </is>
      </c>
      <c r="DW73">
        <f>IFERROR(CHOOSE(MATCH($DV$6,{"Ano Completo","1º Semestre","2º Semestre","1º Trimestre","2º Trimestre","3º Trimestre","4º Trimestre"},0),SUM(DX73:EI73),SUM(DX73:EC73),SUM(ED73:EI73),SUM(DX73:DZ73),SUM(EA73:EC73),SUM(ED73:EF73),SUM(EG73:EI73)),0)</f>
        <v/>
      </c>
      <c r="EL73" s="3" t="inlineStr">
        <is>
          <t>Custo total</t>
        </is>
      </c>
      <c r="EM73">
        <f>IFERROR(CHOOSE(MATCH($EL$6,{"Ano Completo","1º Semestre","2º Semestre","1º Trimestre","2º Trimestre","3º Trimestre","4º Trimestre"},0),SUM(EN73:EY73),SUM(EN73:ES73),SUM(ET73:EY73),SUM(EN73:EP73),SUM(EQ73:ES73),SUM(ET73:EV73),SUM(EW73:EY73)),0)</f>
        <v/>
      </c>
    </row>
    <row r="75">
      <c r="B75" t="inlineStr">
        <is>
          <t>Despesas Pessoas</t>
        </is>
      </c>
      <c r="C75">
        <f>IFERROR(CHOOSE(MATCH($B$6,{"Ano Completo","1º Semestre","2º Semestre","1º Trimestre","2º Trimestre","3º Trimestre","4º Trimestre"},0),SUM(D75:O75),SUM(D75:I75),SUM(J75:O75),SUM(D75:F75),SUM(G75:I75),SUM(J75:L75),SUM(M75:O75)),0)</f>
        <v/>
      </c>
      <c r="R75" t="inlineStr">
        <is>
          <t>Despesas Pessoas</t>
        </is>
      </c>
      <c r="S75">
        <f>IFERROR(CHOOSE(MATCH($R$6,{"Ano Completo","1º Semestre","2º Semestre","1º Trimestre","2º Trimestre","3º Trimestre","4º Trimestre"},0),SUM(T75:AE75),SUM(T75:Y75),SUM(Z75:AE75),SUM(T75:V75),SUM(W75:Y75),SUM(Z75:AB75),SUM(AC75:AE75)),0)</f>
        <v/>
      </c>
      <c r="AG75" t="inlineStr">
        <is>
          <t>Despesas Pessoas</t>
        </is>
      </c>
      <c r="AH75">
        <f>IFERROR(CHOOSE(MATCH($AG$6,{"Ano Completo","1º Semestre","2º Semestre","1º Trimestre","2º Trimestre","3º Trimestre","4º Trimestre"},0),SUM(AI75:AT75),SUM(AI75:AN75),SUM(AO75:AT75),SUM(AI75:AK75),SUM(AL75:AN75),SUM(AO75:AQ75),SUM(AR75:AT75)),0)</f>
        <v/>
      </c>
      <c r="AI75" t="n">
        <v>114034</v>
      </c>
      <c r="AJ75" t="n">
        <v>124925</v>
      </c>
      <c r="AK75" t="n">
        <v>103401</v>
      </c>
      <c r="AL75" t="n">
        <v>135867</v>
      </c>
      <c r="AM75" t="n">
        <v>93966</v>
      </c>
      <c r="AN75" t="n">
        <v>97878</v>
      </c>
      <c r="AO75" t="n">
        <v>106476</v>
      </c>
      <c r="AP75" t="n">
        <v>109031</v>
      </c>
      <c r="AQ75" t="n">
        <v>84082</v>
      </c>
      <c r="AR75" t="n">
        <v>114726</v>
      </c>
      <c r="AS75" t="n">
        <v>84750</v>
      </c>
      <c r="AT75" t="n">
        <v>107354</v>
      </c>
      <c r="AW75" t="inlineStr">
        <is>
          <t>Despesas Pessoas</t>
        </is>
      </c>
      <c r="AX75">
        <f>IFERROR(CHOOSE(MATCH($AW$6,{"Ano Completo","1º Semestre","2º Semestre","1º Trimestre","2º Trimestre","3º Trimestre","4º Trimestre"},0),SUM(AY75:BJ75),SUM(AY75:BD75),SUM(BE75:BJ75),SUM(AY75:BA75),SUM(BB75:BD75),SUM(BE75:BG75),SUM(BH75:BJ75)),0)</f>
        <v/>
      </c>
      <c r="AY75" t="n">
        <v>100452</v>
      </c>
      <c r="AZ75" t="n">
        <v>102645</v>
      </c>
      <c r="BA75" t="n">
        <v>133861</v>
      </c>
      <c r="BB75" t="n">
        <v>108610</v>
      </c>
      <c r="BC75" t="n">
        <v>83136</v>
      </c>
      <c r="BD75" t="n">
        <v>108376</v>
      </c>
      <c r="BE75" t="n">
        <v>58304</v>
      </c>
      <c r="BF75" t="n">
        <v>98965</v>
      </c>
      <c r="BG75" t="n">
        <v>96150</v>
      </c>
      <c r="BH75" t="n">
        <v>136178</v>
      </c>
      <c r="BI75" t="n">
        <v>95304</v>
      </c>
      <c r="BJ75" t="n">
        <v>114002</v>
      </c>
      <c r="BL75" t="inlineStr">
        <is>
          <t>Despesas Pessoas</t>
        </is>
      </c>
      <c r="BM75">
        <f>IFERROR(CHOOSE(MATCH($BL$6,{"Ano Completo","1º Semestre","2º Semestre","1º Trimestre","2º Trimestre","3º Trimestre","4º Trimestre"},0),SUM(BN75:BY75),SUM(BN75:BS75),SUM(BT75:BY75),SUM(BN75:BP75),SUM(BQ75:BS75),SUM(BT75:BV75),SUM(BW75:BY75)),0)</f>
        <v/>
      </c>
      <c r="BN75" t="n">
        <v>114034</v>
      </c>
      <c r="BO75" t="n">
        <v>124925</v>
      </c>
      <c r="BP75" t="n">
        <v>103401</v>
      </c>
      <c r="BQ75" t="n">
        <v>135867</v>
      </c>
      <c r="BR75" t="n">
        <v>93966</v>
      </c>
      <c r="BS75" t="n">
        <v>97878</v>
      </c>
      <c r="BT75" t="n">
        <v>106476</v>
      </c>
      <c r="BU75" t="n">
        <v>109031</v>
      </c>
      <c r="BV75" t="n">
        <v>84082</v>
      </c>
      <c r="BW75" t="n">
        <v>114726</v>
      </c>
      <c r="BX75" t="n">
        <v>84750</v>
      </c>
      <c r="BY75" t="n">
        <v>107354</v>
      </c>
      <c r="CB75" t="inlineStr">
        <is>
          <t>Despesas Pessoas</t>
        </is>
      </c>
      <c r="CC75">
        <f>IFERROR(CHOOSE(MATCH($CB$6,{"Ano Completo","1º Semestre","2º Semestre","1º Trimestre","2º Trimestre","3º Trimestre","4º Trimestre"},0),SUM(CD75:CO75),SUM(CD75:CI75),SUM(CJ75:CO75),SUM(CD75:CF75),SUM(CG75:CI75),SUM(CJ75:CL75),SUM(CM75:CO75)),0)</f>
        <v/>
      </c>
      <c r="CD75" t="n">
        <v>100452</v>
      </c>
      <c r="CE75" t="n">
        <v>102645</v>
      </c>
      <c r="CF75" t="n">
        <v>133861</v>
      </c>
      <c r="CG75" t="n">
        <v>108610</v>
      </c>
      <c r="CH75" t="n">
        <v>83136</v>
      </c>
      <c r="CI75" t="n">
        <v>108376</v>
      </c>
      <c r="CJ75" t="n">
        <v>58304</v>
      </c>
      <c r="CK75" t="n">
        <v>98965</v>
      </c>
      <c r="CL75" t="n">
        <v>96150</v>
      </c>
      <c r="CM75" t="n">
        <v>136178</v>
      </c>
      <c r="CN75" t="n">
        <v>95304</v>
      </c>
      <c r="CO75" t="n">
        <v>114002</v>
      </c>
      <c r="CQ75" t="inlineStr">
        <is>
          <t>Despesas Pessoas</t>
        </is>
      </c>
      <c r="CR75">
        <f>IFERROR(CHOOSE(MATCH($CQ$6,{"Ano Completo","1º Semestre","2º Semestre","1º Trimestre","2º Trimestre","3º Trimestre","4º Trimestre"},0),SUM(CS75:DD75),SUM(CS75:CX75),SUM(CY75:DD75),SUM(CS75:CU75),SUM(CV75:CX75),SUM(CY75:DA75),SUM(DB75:DD75)),0)</f>
        <v/>
      </c>
      <c r="CS75" t="n">
        <v>114034</v>
      </c>
      <c r="CT75" t="n">
        <v>124925</v>
      </c>
      <c r="CU75" t="n">
        <v>103401</v>
      </c>
      <c r="CV75" t="n">
        <v>135867</v>
      </c>
      <c r="CW75" t="n">
        <v>93966</v>
      </c>
      <c r="CX75" t="n">
        <v>97878</v>
      </c>
      <c r="CY75" t="n">
        <v>106476</v>
      </c>
      <c r="CZ75" t="n">
        <v>109031</v>
      </c>
      <c r="DA75" t="n">
        <v>84082</v>
      </c>
      <c r="DB75" t="n">
        <v>114726</v>
      </c>
      <c r="DC75" t="n">
        <v>84750</v>
      </c>
      <c r="DD75" t="n">
        <v>107354</v>
      </c>
      <c r="DG75" t="inlineStr">
        <is>
          <t>Despesas Pessoas</t>
        </is>
      </c>
      <c r="DH75">
        <f>IFERROR(CHOOSE(MATCH($DG$6,{"Ano Completo","1º Semestre","2º Semestre","1º Trimestre","2º Trimestre","3º Trimestre","4º Trimestre"},0),SUM(DI75:DT75),SUM(DI75:DN75),SUM(DO75:DT75),SUM(DI75:DK75),SUM(DL75:DN75),SUM(DO75:DQ75),SUM(DR75:DT75)),0)</f>
        <v/>
      </c>
      <c r="DI75" t="n">
        <v>100452</v>
      </c>
      <c r="DJ75" t="n">
        <v>102645</v>
      </c>
      <c r="DK75" t="n">
        <v>133861</v>
      </c>
      <c r="DL75" t="n">
        <v>108610</v>
      </c>
      <c r="DM75" t="n">
        <v>83136</v>
      </c>
      <c r="DN75" t="n">
        <v>108376</v>
      </c>
      <c r="DO75" t="n">
        <v>58304</v>
      </c>
      <c r="DP75" t="n">
        <v>98965</v>
      </c>
      <c r="DQ75" t="n">
        <v>96150</v>
      </c>
      <c r="DR75" t="n">
        <v>136178</v>
      </c>
      <c r="DS75" t="n">
        <v>95304</v>
      </c>
      <c r="DT75" t="n">
        <v>114002</v>
      </c>
      <c r="DV75" t="inlineStr">
        <is>
          <t>Despesas Pessoas</t>
        </is>
      </c>
      <c r="DW75">
        <f>IFERROR(CHOOSE(MATCH($DV$6,{"Ano Completo","1º Semestre","2º Semestre","1º Trimestre","2º Trimestre","3º Trimestre","4º Trimestre"},0),SUM(DX75:EI75),SUM(DX75:EC75),SUM(ED75:EI75),SUM(DX75:DZ75),SUM(EA75:EC75),SUM(ED75:EF75),SUM(EG75:EI75)),0)</f>
        <v/>
      </c>
      <c r="DX75" t="n">
        <v>114034</v>
      </c>
      <c r="DY75" t="n">
        <v>124925</v>
      </c>
      <c r="DZ75" t="n">
        <v>103401</v>
      </c>
      <c r="EA75" t="n">
        <v>135867</v>
      </c>
      <c r="EB75" t="n">
        <v>93966</v>
      </c>
      <c r="EC75" t="n">
        <v>97878</v>
      </c>
      <c r="ED75" t="n">
        <v>106476</v>
      </c>
      <c r="EE75" t="n">
        <v>109031</v>
      </c>
      <c r="EF75" t="n">
        <v>84082</v>
      </c>
      <c r="EG75" t="n">
        <v>114726</v>
      </c>
      <c r="EH75" t="n">
        <v>84750</v>
      </c>
      <c r="EI75" t="n">
        <v>107354</v>
      </c>
      <c r="EL75" t="inlineStr">
        <is>
          <t>Despesas Pessoas</t>
        </is>
      </c>
      <c r="EM75">
        <f>IFERROR(CHOOSE(MATCH($EL$6,{"Ano Completo","1º Semestre","2º Semestre","1º Trimestre","2º Trimestre","3º Trimestre","4º Trimestre"},0),SUM(EN75:EY75),SUM(EN75:ES75),SUM(ET75:EY75),SUM(EN75:EP75),SUM(EQ75:ES75),SUM(ET75:EV75),SUM(EW75:EY75)),0)</f>
        <v/>
      </c>
      <c r="EN75" t="n">
        <v>100452</v>
      </c>
      <c r="EO75" t="n">
        <v>102645</v>
      </c>
      <c r="EP75" t="n">
        <v>133861</v>
      </c>
      <c r="EQ75" t="n">
        <v>108610</v>
      </c>
      <c r="ER75" t="n">
        <v>83136</v>
      </c>
      <c r="ES75" t="n">
        <v>108376</v>
      </c>
      <c r="ET75" t="n">
        <v>58304</v>
      </c>
      <c r="EU75" t="n">
        <v>98965</v>
      </c>
      <c r="EV75" t="n">
        <v>96150</v>
      </c>
      <c r="EW75" t="n">
        <v>136178</v>
      </c>
      <c r="EX75" t="n">
        <v>95304</v>
      </c>
      <c r="EY75" t="n">
        <v>114002</v>
      </c>
    </row>
    <row r="77">
      <c r="B77" t="inlineStr">
        <is>
          <t>Salários</t>
        </is>
      </c>
      <c r="C77">
        <f>IFERROR(CHOOSE(MATCH($B$6,{"Ano Completo","1º Semestre","2º Semestre","1º Trimestre","2º Trimestre","3º Trimestre","4º Trimestre"},0),SUM(D77:O77),SUM(D77:I77),SUM(J77:O77),SUM(D77:F77),SUM(G77:I77),SUM(J77:L77),SUM(M77:O77)),0)</f>
        <v/>
      </c>
      <c r="R77" t="inlineStr">
        <is>
          <t>Salários</t>
        </is>
      </c>
      <c r="S77">
        <f>IFERROR(CHOOSE(MATCH($R$6,{"Ano Completo","1º Semestre","2º Semestre","1º Trimestre","2º Trimestre","3º Trimestre","4º Trimestre"},0),SUM(T77:AE77),SUM(T77:Y77),SUM(Z77:AE77),SUM(T77:V77),SUM(W77:Y77),SUM(Z77:AB77),SUM(AC77:AE77)),0)</f>
        <v/>
      </c>
      <c r="AG77" t="inlineStr">
        <is>
          <t>Salários</t>
        </is>
      </c>
      <c r="AH77">
        <f>IFERROR(CHOOSE(MATCH($AG$6,{"Ano Completo","1º Semestre","2º Semestre","1º Trimestre","2º Trimestre","3º Trimestre","4º Trimestre"},0),SUM(AI77:AT77),SUM(AI77:AN77),SUM(AO77:AT77),SUM(AI77:AK77),SUM(AL77:AN77),SUM(AO77:AQ77),SUM(AR77:AT77)),0)</f>
        <v/>
      </c>
      <c r="AI77" t="n">
        <v>2557</v>
      </c>
      <c r="AJ77" t="n">
        <v>2812</v>
      </c>
      <c r="AK77" t="n">
        <v>8877</v>
      </c>
      <c r="AL77" t="n">
        <v>18997</v>
      </c>
      <c r="AM77" t="n">
        <v>1894</v>
      </c>
      <c r="AN77" t="n">
        <v>8891</v>
      </c>
      <c r="AO77" t="n">
        <v>5418</v>
      </c>
      <c r="AP77" t="n">
        <v>14530</v>
      </c>
      <c r="AQ77" t="n">
        <v>9906</v>
      </c>
      <c r="AR77" t="n">
        <v>2403</v>
      </c>
      <c r="AS77" t="n">
        <v>17213</v>
      </c>
      <c r="AT77" t="n">
        <v>15153</v>
      </c>
      <c r="AW77" t="inlineStr">
        <is>
          <t>Salários</t>
        </is>
      </c>
      <c r="AX77">
        <f>IFERROR(CHOOSE(MATCH($AW$6,{"Ano Completo","1º Semestre","2º Semestre","1º Trimestre","2º Trimestre","3º Trimestre","4º Trimestre"},0),SUM(AY77:BJ77),SUM(AY77:BD77),SUM(BE77:BJ77),SUM(AY77:BA77),SUM(BB77:BD77),SUM(BE77:BG77),SUM(BH77:BJ77)),0)</f>
        <v/>
      </c>
      <c r="AY77" t="n">
        <v>4685</v>
      </c>
      <c r="AZ77" t="n">
        <v>13581</v>
      </c>
      <c r="BA77" t="n">
        <v>8675</v>
      </c>
      <c r="BB77" t="n">
        <v>12750</v>
      </c>
      <c r="BC77" t="n">
        <v>13393</v>
      </c>
      <c r="BD77" t="n">
        <v>7851</v>
      </c>
      <c r="BE77" t="n">
        <v>4870</v>
      </c>
      <c r="BF77" t="n">
        <v>12962</v>
      </c>
      <c r="BG77" t="n">
        <v>5926</v>
      </c>
      <c r="BH77" t="n">
        <v>11208</v>
      </c>
      <c r="BI77" t="n">
        <v>9084</v>
      </c>
      <c r="BJ77" t="n">
        <v>17834</v>
      </c>
      <c r="BL77" t="inlineStr">
        <is>
          <t>Salários</t>
        </is>
      </c>
      <c r="BM77">
        <f>IFERROR(CHOOSE(MATCH($BL$6,{"Ano Completo","1º Semestre","2º Semestre","1º Trimestre","2º Trimestre","3º Trimestre","4º Trimestre"},0),SUM(BN77:BY77),SUM(BN77:BS77),SUM(BT77:BY77),SUM(BN77:BP77),SUM(BQ77:BS77),SUM(BT77:BV77),SUM(BW77:BY77)),0)</f>
        <v/>
      </c>
      <c r="BN77" t="n">
        <v>2557</v>
      </c>
      <c r="BO77" t="n">
        <v>2812</v>
      </c>
      <c r="BP77" t="n">
        <v>8877</v>
      </c>
      <c r="BQ77" t="n">
        <v>18997</v>
      </c>
      <c r="BR77" t="n">
        <v>1894</v>
      </c>
      <c r="BS77" t="n">
        <v>8891</v>
      </c>
      <c r="BT77" t="n">
        <v>5418</v>
      </c>
      <c r="BU77" t="n">
        <v>14530</v>
      </c>
      <c r="BV77" t="n">
        <v>9906</v>
      </c>
      <c r="BW77" t="n">
        <v>2403</v>
      </c>
      <c r="BX77" t="n">
        <v>17213</v>
      </c>
      <c r="BY77" t="n">
        <v>15153</v>
      </c>
      <c r="CB77" t="inlineStr">
        <is>
          <t>Salários</t>
        </is>
      </c>
      <c r="CC77">
        <f>IFERROR(CHOOSE(MATCH($CB$6,{"Ano Completo","1º Semestre","2º Semestre","1º Trimestre","2º Trimestre","3º Trimestre","4º Trimestre"},0),SUM(CD77:CO77),SUM(CD77:CI77),SUM(CJ77:CO77),SUM(CD77:CF77),SUM(CG77:CI77),SUM(CJ77:CL77),SUM(CM77:CO77)),0)</f>
        <v/>
      </c>
      <c r="CD77" t="n">
        <v>4685</v>
      </c>
      <c r="CE77" t="n">
        <v>13581</v>
      </c>
      <c r="CF77" t="n">
        <v>8675</v>
      </c>
      <c r="CG77" t="n">
        <v>12750</v>
      </c>
      <c r="CH77" t="n">
        <v>13393</v>
      </c>
      <c r="CI77" t="n">
        <v>7851</v>
      </c>
      <c r="CJ77" t="n">
        <v>4870</v>
      </c>
      <c r="CK77" t="n">
        <v>12962</v>
      </c>
      <c r="CL77" t="n">
        <v>5926</v>
      </c>
      <c r="CM77" t="n">
        <v>11208</v>
      </c>
      <c r="CN77" t="n">
        <v>9084</v>
      </c>
      <c r="CO77" t="n">
        <v>17834</v>
      </c>
      <c r="CQ77" t="inlineStr">
        <is>
          <t>Salários</t>
        </is>
      </c>
      <c r="CR77">
        <f>IFERROR(CHOOSE(MATCH($CQ$6,{"Ano Completo","1º Semestre","2º Semestre","1º Trimestre","2º Trimestre","3º Trimestre","4º Trimestre"},0),SUM(CS77:DD77),SUM(CS77:CX77),SUM(CY77:DD77),SUM(CS77:CU77),SUM(CV77:CX77),SUM(CY77:DA77),SUM(DB77:DD77)),0)</f>
        <v/>
      </c>
      <c r="CS77" t="n">
        <v>2557</v>
      </c>
      <c r="CT77" t="n">
        <v>2812</v>
      </c>
      <c r="CU77" t="n">
        <v>8877</v>
      </c>
      <c r="CV77" t="n">
        <v>18997</v>
      </c>
      <c r="CW77" t="n">
        <v>1894</v>
      </c>
      <c r="CX77" t="n">
        <v>8891</v>
      </c>
      <c r="CY77" t="n">
        <v>5418</v>
      </c>
      <c r="CZ77" t="n">
        <v>14530</v>
      </c>
      <c r="DA77" t="n">
        <v>9906</v>
      </c>
      <c r="DB77" t="n">
        <v>2403</v>
      </c>
      <c r="DC77" t="n">
        <v>17213</v>
      </c>
      <c r="DD77" t="n">
        <v>15153</v>
      </c>
      <c r="DG77" t="inlineStr">
        <is>
          <t>Salários</t>
        </is>
      </c>
      <c r="DH77">
        <f>IFERROR(CHOOSE(MATCH($DG$6,{"Ano Completo","1º Semestre","2º Semestre","1º Trimestre","2º Trimestre","3º Trimestre","4º Trimestre"},0),SUM(DI77:DT77),SUM(DI77:DN77),SUM(DO77:DT77),SUM(DI77:DK77),SUM(DL77:DN77),SUM(DO77:DQ77),SUM(DR77:DT77)),0)</f>
        <v/>
      </c>
      <c r="DI77" t="n">
        <v>4685</v>
      </c>
      <c r="DJ77" t="n">
        <v>13581</v>
      </c>
      <c r="DK77" t="n">
        <v>8675</v>
      </c>
      <c r="DL77" t="n">
        <v>12750</v>
      </c>
      <c r="DM77" t="n">
        <v>13393</v>
      </c>
      <c r="DN77" t="n">
        <v>7851</v>
      </c>
      <c r="DO77" t="n">
        <v>4870</v>
      </c>
      <c r="DP77" t="n">
        <v>12962</v>
      </c>
      <c r="DQ77" t="n">
        <v>5926</v>
      </c>
      <c r="DR77" t="n">
        <v>11208</v>
      </c>
      <c r="DS77" t="n">
        <v>9084</v>
      </c>
      <c r="DT77" t="n">
        <v>17834</v>
      </c>
      <c r="DV77" t="inlineStr">
        <is>
          <t>Salários</t>
        </is>
      </c>
      <c r="DW77">
        <f>IFERROR(CHOOSE(MATCH($DV$6,{"Ano Completo","1º Semestre","2º Semestre","1º Trimestre","2º Trimestre","3º Trimestre","4º Trimestre"},0),SUM(DX77:EI77),SUM(DX77:EC77),SUM(ED77:EI77),SUM(DX77:DZ77),SUM(EA77:EC77),SUM(ED77:EF77),SUM(EG77:EI77)),0)</f>
        <v/>
      </c>
      <c r="DX77" t="n">
        <v>2557</v>
      </c>
      <c r="DY77" t="n">
        <v>2812</v>
      </c>
      <c r="DZ77" t="n">
        <v>8877</v>
      </c>
      <c r="EA77" t="n">
        <v>18997</v>
      </c>
      <c r="EB77" t="n">
        <v>1894</v>
      </c>
      <c r="EC77" t="n">
        <v>8891</v>
      </c>
      <c r="ED77" t="n">
        <v>5418</v>
      </c>
      <c r="EE77" t="n">
        <v>14530</v>
      </c>
      <c r="EF77" t="n">
        <v>9906</v>
      </c>
      <c r="EG77" t="n">
        <v>2403</v>
      </c>
      <c r="EH77" t="n">
        <v>17213</v>
      </c>
      <c r="EI77" t="n">
        <v>15153</v>
      </c>
      <c r="EL77" t="inlineStr">
        <is>
          <t>Salários</t>
        </is>
      </c>
      <c r="EM77">
        <f>IFERROR(CHOOSE(MATCH($EL$6,{"Ano Completo","1º Semestre","2º Semestre","1º Trimestre","2º Trimestre","3º Trimestre","4º Trimestre"},0),SUM(EN77:EY77),SUM(EN77:ES77),SUM(ET77:EY77),SUM(EN77:EP77),SUM(EQ77:ES77),SUM(ET77:EV77),SUM(EW77:EY77)),0)</f>
        <v/>
      </c>
      <c r="EN77" t="n">
        <v>4685</v>
      </c>
      <c r="EO77" t="n">
        <v>13581</v>
      </c>
      <c r="EP77" t="n">
        <v>8675</v>
      </c>
      <c r="EQ77" t="n">
        <v>12750</v>
      </c>
      <c r="ER77" t="n">
        <v>13393</v>
      </c>
      <c r="ES77" t="n">
        <v>7851</v>
      </c>
      <c r="ET77" t="n">
        <v>4870</v>
      </c>
      <c r="EU77" t="n">
        <v>12962</v>
      </c>
      <c r="EV77" t="n">
        <v>5926</v>
      </c>
      <c r="EW77" t="n">
        <v>11208</v>
      </c>
      <c r="EX77" t="n">
        <v>9084</v>
      </c>
      <c r="EY77" t="n">
        <v>17834</v>
      </c>
    </row>
    <row r="78">
      <c r="B78" t="inlineStr">
        <is>
          <t>Benefícios</t>
        </is>
      </c>
      <c r="C78">
        <f>IFERROR(CHOOSE(MATCH($B$6,{"Ano Completo","1º Semestre","2º Semestre","1º Trimestre","2º Trimestre","3º Trimestre","4º Trimestre"},0),SUM(D78:O78),SUM(D78:I78),SUM(J78:O78),SUM(D78:F78),SUM(G78:I78),SUM(J78:L78),SUM(M78:O78)),0)</f>
        <v/>
      </c>
      <c r="R78" t="inlineStr">
        <is>
          <t>Benefícios</t>
        </is>
      </c>
      <c r="S78">
        <f>IFERROR(CHOOSE(MATCH($R$6,{"Ano Completo","1º Semestre","2º Semestre","1º Trimestre","2º Trimestre","3º Trimestre","4º Trimestre"},0),SUM(T78:AE78),SUM(T78:Y78),SUM(Z78:AE78),SUM(T78:V78),SUM(W78:Y78),SUM(Z78:AB78),SUM(AC78:AE78)),0)</f>
        <v/>
      </c>
      <c r="AG78" t="inlineStr">
        <is>
          <t>Benefícios</t>
        </is>
      </c>
      <c r="AH78">
        <f>IFERROR(CHOOSE(MATCH($AG$6,{"Ano Completo","1º Semestre","2º Semestre","1º Trimestre","2º Trimestre","3º Trimestre","4º Trimestre"},0),SUM(AI78:AT78),SUM(AI78:AN78),SUM(AO78:AT78),SUM(AI78:AK78),SUM(AL78:AN78),SUM(AO78:AQ78),SUM(AR78:AT78)),0)</f>
        <v/>
      </c>
      <c r="AI78" t="n">
        <v>18819</v>
      </c>
      <c r="AJ78" t="n">
        <v>17610</v>
      </c>
      <c r="AK78" t="n">
        <v>10022</v>
      </c>
      <c r="AL78" t="n">
        <v>5302</v>
      </c>
      <c r="AM78" t="n">
        <v>11423</v>
      </c>
      <c r="AN78" t="n">
        <v>8538</v>
      </c>
      <c r="AO78" t="n">
        <v>5799</v>
      </c>
      <c r="AP78" t="n">
        <v>14429</v>
      </c>
      <c r="AQ78" t="n">
        <v>1489</v>
      </c>
      <c r="AR78" t="n">
        <v>14294</v>
      </c>
      <c r="AS78" t="n">
        <v>13590</v>
      </c>
      <c r="AT78" t="n">
        <v>8609</v>
      </c>
      <c r="AW78" t="inlineStr">
        <is>
          <t>Benefícios</t>
        </is>
      </c>
      <c r="AX78">
        <f>IFERROR(CHOOSE(MATCH($AW$6,{"Ano Completo","1º Semestre","2º Semestre","1º Trimestre","2º Trimestre","3º Trimestre","4º Trimestre"},0),SUM(AY78:BJ78),SUM(AY78:BD78),SUM(BE78:BJ78),SUM(AY78:BA78),SUM(BB78:BD78),SUM(BE78:BG78),SUM(BH78:BJ78)),0)</f>
        <v/>
      </c>
      <c r="AY78" t="n">
        <v>13652</v>
      </c>
      <c r="AZ78" t="n">
        <v>17012</v>
      </c>
      <c r="BA78" t="n">
        <v>14832</v>
      </c>
      <c r="BB78" t="n">
        <v>11794</v>
      </c>
      <c r="BC78" t="n">
        <v>10359</v>
      </c>
      <c r="BD78" t="n">
        <v>2436</v>
      </c>
      <c r="BE78" t="n">
        <v>3746</v>
      </c>
      <c r="BF78" t="n">
        <v>10570</v>
      </c>
      <c r="BG78" t="n">
        <v>2645</v>
      </c>
      <c r="BH78" t="n">
        <v>18371</v>
      </c>
      <c r="BI78" t="n">
        <v>6208</v>
      </c>
      <c r="BJ78" t="n">
        <v>19091</v>
      </c>
      <c r="BL78" t="inlineStr">
        <is>
          <t>Benefícios</t>
        </is>
      </c>
      <c r="BM78">
        <f>IFERROR(CHOOSE(MATCH($BL$6,{"Ano Completo","1º Semestre","2º Semestre","1º Trimestre","2º Trimestre","3º Trimestre","4º Trimestre"},0),SUM(BN78:BY78),SUM(BN78:BS78),SUM(BT78:BY78),SUM(BN78:BP78),SUM(BQ78:BS78),SUM(BT78:BV78),SUM(BW78:BY78)),0)</f>
        <v/>
      </c>
      <c r="BN78" t="n">
        <v>18819</v>
      </c>
      <c r="BO78" t="n">
        <v>17610</v>
      </c>
      <c r="BP78" t="n">
        <v>10022</v>
      </c>
      <c r="BQ78" t="n">
        <v>5302</v>
      </c>
      <c r="BR78" t="n">
        <v>11423</v>
      </c>
      <c r="BS78" t="n">
        <v>8538</v>
      </c>
      <c r="BT78" t="n">
        <v>5799</v>
      </c>
      <c r="BU78" t="n">
        <v>14429</v>
      </c>
      <c r="BV78" t="n">
        <v>1489</v>
      </c>
      <c r="BW78" t="n">
        <v>14294</v>
      </c>
      <c r="BX78" t="n">
        <v>13590</v>
      </c>
      <c r="BY78" t="n">
        <v>8609</v>
      </c>
      <c r="CB78" t="inlineStr">
        <is>
          <t>Benefícios</t>
        </is>
      </c>
      <c r="CC78">
        <f>IFERROR(CHOOSE(MATCH($CB$6,{"Ano Completo","1º Semestre","2º Semestre","1º Trimestre","2º Trimestre","3º Trimestre","4º Trimestre"},0),SUM(CD78:CO78),SUM(CD78:CI78),SUM(CJ78:CO78),SUM(CD78:CF78),SUM(CG78:CI78),SUM(CJ78:CL78),SUM(CM78:CO78)),0)</f>
        <v/>
      </c>
      <c r="CD78" t="n">
        <v>13652</v>
      </c>
      <c r="CE78" t="n">
        <v>17012</v>
      </c>
      <c r="CF78" t="n">
        <v>14832</v>
      </c>
      <c r="CG78" t="n">
        <v>11794</v>
      </c>
      <c r="CH78" t="n">
        <v>10359</v>
      </c>
      <c r="CI78" t="n">
        <v>2436</v>
      </c>
      <c r="CJ78" t="n">
        <v>3746</v>
      </c>
      <c r="CK78" t="n">
        <v>10570</v>
      </c>
      <c r="CL78" t="n">
        <v>2645</v>
      </c>
      <c r="CM78" t="n">
        <v>18371</v>
      </c>
      <c r="CN78" t="n">
        <v>6208</v>
      </c>
      <c r="CO78" t="n">
        <v>19091</v>
      </c>
      <c r="CQ78" t="inlineStr">
        <is>
          <t>Benefícios</t>
        </is>
      </c>
      <c r="CR78">
        <f>IFERROR(CHOOSE(MATCH($CQ$6,{"Ano Completo","1º Semestre","2º Semestre","1º Trimestre","2º Trimestre","3º Trimestre","4º Trimestre"},0),SUM(CS78:DD78),SUM(CS78:CX78),SUM(CY78:DD78),SUM(CS78:CU78),SUM(CV78:CX78),SUM(CY78:DA78),SUM(DB78:DD78)),0)</f>
        <v/>
      </c>
      <c r="CS78" t="n">
        <v>18819</v>
      </c>
      <c r="CT78" t="n">
        <v>17610</v>
      </c>
      <c r="CU78" t="n">
        <v>10022</v>
      </c>
      <c r="CV78" t="n">
        <v>5302</v>
      </c>
      <c r="CW78" t="n">
        <v>11423</v>
      </c>
      <c r="CX78" t="n">
        <v>8538</v>
      </c>
      <c r="CY78" t="n">
        <v>5799</v>
      </c>
      <c r="CZ78" t="n">
        <v>14429</v>
      </c>
      <c r="DA78" t="n">
        <v>1489</v>
      </c>
      <c r="DB78" t="n">
        <v>14294</v>
      </c>
      <c r="DC78" t="n">
        <v>13590</v>
      </c>
      <c r="DD78" t="n">
        <v>8609</v>
      </c>
      <c r="DG78" t="inlineStr">
        <is>
          <t>Benefícios</t>
        </is>
      </c>
      <c r="DH78">
        <f>IFERROR(CHOOSE(MATCH($DG$6,{"Ano Completo","1º Semestre","2º Semestre","1º Trimestre","2º Trimestre","3º Trimestre","4º Trimestre"},0),SUM(DI78:DT78),SUM(DI78:DN78),SUM(DO78:DT78),SUM(DI78:DK78),SUM(DL78:DN78),SUM(DO78:DQ78),SUM(DR78:DT78)),0)</f>
        <v/>
      </c>
      <c r="DI78" t="n">
        <v>13652</v>
      </c>
      <c r="DJ78" t="n">
        <v>17012</v>
      </c>
      <c r="DK78" t="n">
        <v>14832</v>
      </c>
      <c r="DL78" t="n">
        <v>11794</v>
      </c>
      <c r="DM78" t="n">
        <v>10359</v>
      </c>
      <c r="DN78" t="n">
        <v>2436</v>
      </c>
      <c r="DO78" t="n">
        <v>3746</v>
      </c>
      <c r="DP78" t="n">
        <v>10570</v>
      </c>
      <c r="DQ78" t="n">
        <v>2645</v>
      </c>
      <c r="DR78" t="n">
        <v>18371</v>
      </c>
      <c r="DS78" t="n">
        <v>6208</v>
      </c>
      <c r="DT78" t="n">
        <v>19091</v>
      </c>
      <c r="DV78" t="inlineStr">
        <is>
          <t>Benefícios</t>
        </is>
      </c>
      <c r="DW78">
        <f>IFERROR(CHOOSE(MATCH($DV$6,{"Ano Completo","1º Semestre","2º Semestre","1º Trimestre","2º Trimestre","3º Trimestre","4º Trimestre"},0),SUM(DX78:EI78),SUM(DX78:EC78),SUM(ED78:EI78),SUM(DX78:DZ78),SUM(EA78:EC78),SUM(ED78:EF78),SUM(EG78:EI78)),0)</f>
        <v/>
      </c>
      <c r="DX78" t="n">
        <v>18819</v>
      </c>
      <c r="DY78" t="n">
        <v>17610</v>
      </c>
      <c r="DZ78" t="n">
        <v>10022</v>
      </c>
      <c r="EA78" t="n">
        <v>5302</v>
      </c>
      <c r="EB78" t="n">
        <v>11423</v>
      </c>
      <c r="EC78" t="n">
        <v>8538</v>
      </c>
      <c r="ED78" t="n">
        <v>5799</v>
      </c>
      <c r="EE78" t="n">
        <v>14429</v>
      </c>
      <c r="EF78" t="n">
        <v>1489</v>
      </c>
      <c r="EG78" t="n">
        <v>14294</v>
      </c>
      <c r="EH78" t="n">
        <v>13590</v>
      </c>
      <c r="EI78" t="n">
        <v>8609</v>
      </c>
      <c r="EL78" t="inlineStr">
        <is>
          <t>Benefícios</t>
        </is>
      </c>
      <c r="EM78">
        <f>IFERROR(CHOOSE(MATCH($EL$6,{"Ano Completo","1º Semestre","2º Semestre","1º Trimestre","2º Trimestre","3º Trimestre","4º Trimestre"},0),SUM(EN78:EY78),SUM(EN78:ES78),SUM(ET78:EY78),SUM(EN78:EP78),SUM(EQ78:ES78),SUM(ET78:EV78),SUM(EW78:EY78)),0)</f>
        <v/>
      </c>
      <c r="EN78" t="n">
        <v>13652</v>
      </c>
      <c r="EO78" t="n">
        <v>17012</v>
      </c>
      <c r="EP78" t="n">
        <v>14832</v>
      </c>
      <c r="EQ78" t="n">
        <v>11794</v>
      </c>
      <c r="ER78" t="n">
        <v>10359</v>
      </c>
      <c r="ES78" t="n">
        <v>2436</v>
      </c>
      <c r="ET78" t="n">
        <v>3746</v>
      </c>
      <c r="EU78" t="n">
        <v>10570</v>
      </c>
      <c r="EV78" t="n">
        <v>2645</v>
      </c>
      <c r="EW78" t="n">
        <v>18371</v>
      </c>
      <c r="EX78" t="n">
        <v>6208</v>
      </c>
      <c r="EY78" t="n">
        <v>19091</v>
      </c>
    </row>
    <row r="79">
      <c r="B79" t="inlineStr">
        <is>
          <t>FGTS e INSS</t>
        </is>
      </c>
      <c r="C79">
        <f>IFERROR(CHOOSE(MATCH($B$6,{"Ano Completo","1º Semestre","2º Semestre","1º Trimestre","2º Trimestre","3º Trimestre","4º Trimestre"},0),SUM(D79:O79),SUM(D79:I79),SUM(J79:O79),SUM(D79:F79),SUM(G79:I79),SUM(J79:L79),SUM(M79:O79)),0)</f>
        <v/>
      </c>
      <c r="R79" t="inlineStr">
        <is>
          <t>FGTS e INSS</t>
        </is>
      </c>
      <c r="S79">
        <f>IFERROR(CHOOSE(MATCH($R$6,{"Ano Completo","1º Semestre","2º Semestre","1º Trimestre","2º Trimestre","3º Trimestre","4º Trimestre"},0),SUM(T79:AE79),SUM(T79:Y79),SUM(Z79:AE79),SUM(T79:V79),SUM(W79:Y79),SUM(Z79:AB79),SUM(AC79:AE79)),0)</f>
        <v/>
      </c>
      <c r="AG79" t="inlineStr">
        <is>
          <t>FGTS e INSS</t>
        </is>
      </c>
      <c r="AH79">
        <f>IFERROR(CHOOSE(MATCH($AG$6,{"Ano Completo","1º Semestre","2º Semestre","1º Trimestre","2º Trimestre","3º Trimestre","4º Trimestre"},0),SUM(AI79:AT79),SUM(AI79:AN79),SUM(AO79:AT79),SUM(AI79:AK79),SUM(AL79:AN79),SUM(AO79:AQ79),SUM(AR79:AT79)),0)</f>
        <v/>
      </c>
      <c r="AI79" t="n">
        <v>19467</v>
      </c>
      <c r="AJ79" t="n">
        <v>19175</v>
      </c>
      <c r="AK79" t="n">
        <v>12045</v>
      </c>
      <c r="AL79" t="n">
        <v>15075</v>
      </c>
      <c r="AM79" t="n">
        <v>15822</v>
      </c>
      <c r="AN79" t="n">
        <v>16101</v>
      </c>
      <c r="AO79" t="n">
        <v>12206</v>
      </c>
      <c r="AP79" t="n">
        <v>12478</v>
      </c>
      <c r="AQ79" t="n">
        <v>11874</v>
      </c>
      <c r="AR79" t="n">
        <v>18171</v>
      </c>
      <c r="AS79" t="n">
        <v>2286</v>
      </c>
      <c r="AT79" t="n">
        <v>19984</v>
      </c>
      <c r="AW79" t="inlineStr">
        <is>
          <t>FGTS e INSS</t>
        </is>
      </c>
      <c r="AX79">
        <f>IFERROR(CHOOSE(MATCH($AW$6,{"Ano Completo","1º Semestre","2º Semestre","1º Trimestre","2º Trimestre","3º Trimestre","4º Trimestre"},0),SUM(AY79:BJ79),SUM(AY79:BD79),SUM(BE79:BJ79),SUM(AY79:BA79),SUM(BB79:BD79),SUM(BE79:BG79),SUM(BH79:BJ79)),0)</f>
        <v/>
      </c>
      <c r="AY79" t="n">
        <v>8639</v>
      </c>
      <c r="AZ79" t="n">
        <v>11419</v>
      </c>
      <c r="BA79" t="n">
        <v>8852</v>
      </c>
      <c r="BB79" t="n">
        <v>6544</v>
      </c>
      <c r="BC79" t="n">
        <v>9943</v>
      </c>
      <c r="BD79" t="n">
        <v>9487</v>
      </c>
      <c r="BE79" t="n">
        <v>1755</v>
      </c>
      <c r="BF79" t="n">
        <v>9697</v>
      </c>
      <c r="BG79" t="n">
        <v>7310</v>
      </c>
      <c r="BH79" t="n">
        <v>9437</v>
      </c>
      <c r="BI79" t="n">
        <v>11483</v>
      </c>
      <c r="BJ79" t="n">
        <v>2245</v>
      </c>
      <c r="BL79" t="inlineStr">
        <is>
          <t>FGTS e INSS</t>
        </is>
      </c>
      <c r="BM79">
        <f>IFERROR(CHOOSE(MATCH($BL$6,{"Ano Completo","1º Semestre","2º Semestre","1º Trimestre","2º Trimestre","3º Trimestre","4º Trimestre"},0),SUM(BN79:BY79),SUM(BN79:BS79),SUM(BT79:BY79),SUM(BN79:BP79),SUM(BQ79:BS79),SUM(BT79:BV79),SUM(BW79:BY79)),0)</f>
        <v/>
      </c>
      <c r="BN79" t="n">
        <v>19467</v>
      </c>
      <c r="BO79" t="n">
        <v>19175</v>
      </c>
      <c r="BP79" t="n">
        <v>12045</v>
      </c>
      <c r="BQ79" t="n">
        <v>15075</v>
      </c>
      <c r="BR79" t="n">
        <v>15822</v>
      </c>
      <c r="BS79" t="n">
        <v>16101</v>
      </c>
      <c r="BT79" t="n">
        <v>12206</v>
      </c>
      <c r="BU79" t="n">
        <v>12478</v>
      </c>
      <c r="BV79" t="n">
        <v>11874</v>
      </c>
      <c r="BW79" t="n">
        <v>18171</v>
      </c>
      <c r="BX79" t="n">
        <v>2286</v>
      </c>
      <c r="BY79" t="n">
        <v>19984</v>
      </c>
      <c r="CB79" t="inlineStr">
        <is>
          <t>FGTS e INSS</t>
        </is>
      </c>
      <c r="CC79">
        <f>IFERROR(CHOOSE(MATCH($CB$6,{"Ano Completo","1º Semestre","2º Semestre","1º Trimestre","2º Trimestre","3º Trimestre","4º Trimestre"},0),SUM(CD79:CO79),SUM(CD79:CI79),SUM(CJ79:CO79),SUM(CD79:CF79),SUM(CG79:CI79),SUM(CJ79:CL79),SUM(CM79:CO79)),0)</f>
        <v/>
      </c>
      <c r="CD79" t="n">
        <v>8639</v>
      </c>
      <c r="CE79" t="n">
        <v>11419</v>
      </c>
      <c r="CF79" t="n">
        <v>8852</v>
      </c>
      <c r="CG79" t="n">
        <v>6544</v>
      </c>
      <c r="CH79" t="n">
        <v>9943</v>
      </c>
      <c r="CI79" t="n">
        <v>9487</v>
      </c>
      <c r="CJ79" t="n">
        <v>1755</v>
      </c>
      <c r="CK79" t="n">
        <v>9697</v>
      </c>
      <c r="CL79" t="n">
        <v>7310</v>
      </c>
      <c r="CM79" t="n">
        <v>9437</v>
      </c>
      <c r="CN79" t="n">
        <v>11483</v>
      </c>
      <c r="CO79" t="n">
        <v>2245</v>
      </c>
      <c r="CQ79" t="inlineStr">
        <is>
          <t>FGTS e INSS</t>
        </is>
      </c>
      <c r="CR79">
        <f>IFERROR(CHOOSE(MATCH($CQ$6,{"Ano Completo","1º Semestre","2º Semestre","1º Trimestre","2º Trimestre","3º Trimestre","4º Trimestre"},0),SUM(CS79:DD79),SUM(CS79:CX79),SUM(CY79:DD79),SUM(CS79:CU79),SUM(CV79:CX79),SUM(CY79:DA79),SUM(DB79:DD79)),0)</f>
        <v/>
      </c>
      <c r="CS79" t="n">
        <v>19467</v>
      </c>
      <c r="CT79" t="n">
        <v>19175</v>
      </c>
      <c r="CU79" t="n">
        <v>12045</v>
      </c>
      <c r="CV79" t="n">
        <v>15075</v>
      </c>
      <c r="CW79" t="n">
        <v>15822</v>
      </c>
      <c r="CX79" t="n">
        <v>16101</v>
      </c>
      <c r="CY79" t="n">
        <v>12206</v>
      </c>
      <c r="CZ79" t="n">
        <v>12478</v>
      </c>
      <c r="DA79" t="n">
        <v>11874</v>
      </c>
      <c r="DB79" t="n">
        <v>18171</v>
      </c>
      <c r="DC79" t="n">
        <v>2286</v>
      </c>
      <c r="DD79" t="n">
        <v>19984</v>
      </c>
      <c r="DG79" t="inlineStr">
        <is>
          <t>FGTS e INSS</t>
        </is>
      </c>
      <c r="DH79">
        <f>IFERROR(CHOOSE(MATCH($DG$6,{"Ano Completo","1º Semestre","2º Semestre","1º Trimestre","2º Trimestre","3º Trimestre","4º Trimestre"},0),SUM(DI79:DT79),SUM(DI79:DN79),SUM(DO79:DT79),SUM(DI79:DK79),SUM(DL79:DN79),SUM(DO79:DQ79),SUM(DR79:DT79)),0)</f>
        <v/>
      </c>
      <c r="DI79" t="n">
        <v>8639</v>
      </c>
      <c r="DJ79" t="n">
        <v>11419</v>
      </c>
      <c r="DK79" t="n">
        <v>8852</v>
      </c>
      <c r="DL79" t="n">
        <v>6544</v>
      </c>
      <c r="DM79" t="n">
        <v>9943</v>
      </c>
      <c r="DN79" t="n">
        <v>9487</v>
      </c>
      <c r="DO79" t="n">
        <v>1755</v>
      </c>
      <c r="DP79" t="n">
        <v>9697</v>
      </c>
      <c r="DQ79" t="n">
        <v>7310</v>
      </c>
      <c r="DR79" t="n">
        <v>9437</v>
      </c>
      <c r="DS79" t="n">
        <v>11483</v>
      </c>
      <c r="DT79" t="n">
        <v>2245</v>
      </c>
      <c r="DV79" t="inlineStr">
        <is>
          <t>FGTS e INSS</t>
        </is>
      </c>
      <c r="DW79">
        <f>IFERROR(CHOOSE(MATCH($DV$6,{"Ano Completo","1º Semestre","2º Semestre","1º Trimestre","2º Trimestre","3º Trimestre","4º Trimestre"},0),SUM(DX79:EI79),SUM(DX79:EC79),SUM(ED79:EI79),SUM(DX79:DZ79),SUM(EA79:EC79),SUM(ED79:EF79),SUM(EG79:EI79)),0)</f>
        <v/>
      </c>
      <c r="DX79" t="n">
        <v>19467</v>
      </c>
      <c r="DY79" t="n">
        <v>19175</v>
      </c>
      <c r="DZ79" t="n">
        <v>12045</v>
      </c>
      <c r="EA79" t="n">
        <v>15075</v>
      </c>
      <c r="EB79" t="n">
        <v>15822</v>
      </c>
      <c r="EC79" t="n">
        <v>16101</v>
      </c>
      <c r="ED79" t="n">
        <v>12206</v>
      </c>
      <c r="EE79" t="n">
        <v>12478</v>
      </c>
      <c r="EF79" t="n">
        <v>11874</v>
      </c>
      <c r="EG79" t="n">
        <v>18171</v>
      </c>
      <c r="EH79" t="n">
        <v>2286</v>
      </c>
      <c r="EI79" t="n">
        <v>19984</v>
      </c>
      <c r="EL79" t="inlineStr">
        <is>
          <t>FGTS e INSS</t>
        </is>
      </c>
      <c r="EM79">
        <f>IFERROR(CHOOSE(MATCH($EL$6,{"Ano Completo","1º Semestre","2º Semestre","1º Trimestre","2º Trimestre","3º Trimestre","4º Trimestre"},0),SUM(EN79:EY79),SUM(EN79:ES79),SUM(ET79:EY79),SUM(EN79:EP79),SUM(EQ79:ES79),SUM(ET79:EV79),SUM(EW79:EY79)),0)</f>
        <v/>
      </c>
      <c r="EN79" t="n">
        <v>8639</v>
      </c>
      <c r="EO79" t="n">
        <v>11419</v>
      </c>
      <c r="EP79" t="n">
        <v>8852</v>
      </c>
      <c r="EQ79" t="n">
        <v>6544</v>
      </c>
      <c r="ER79" t="n">
        <v>9943</v>
      </c>
      <c r="ES79" t="n">
        <v>9487</v>
      </c>
      <c r="ET79" t="n">
        <v>1755</v>
      </c>
      <c r="EU79" t="n">
        <v>9697</v>
      </c>
      <c r="EV79" t="n">
        <v>7310</v>
      </c>
      <c r="EW79" t="n">
        <v>9437</v>
      </c>
      <c r="EX79" t="n">
        <v>11483</v>
      </c>
      <c r="EY79" t="n">
        <v>2245</v>
      </c>
    </row>
    <row r="80">
      <c r="B80" t="inlineStr">
        <is>
          <t>Despesas com desligamento</t>
        </is>
      </c>
      <c r="C80">
        <f>IFERROR(CHOOSE(MATCH($B$6,{"Ano Completo","1º Semestre","2º Semestre","1º Trimestre","2º Trimestre","3º Trimestre","4º Trimestre"},0),SUM(D80:O80),SUM(D80:I80),SUM(J80:O80),SUM(D80:F80),SUM(G80:I80),SUM(J80:L80),SUM(M80:O80)),0)</f>
        <v/>
      </c>
      <c r="R80" t="inlineStr">
        <is>
          <t>Despesas com desligamento</t>
        </is>
      </c>
      <c r="S80">
        <f>IFERROR(CHOOSE(MATCH($R$6,{"Ano Completo","1º Semestre","2º Semestre","1º Trimestre","2º Trimestre","3º Trimestre","4º Trimestre"},0),SUM(T80:AE80),SUM(T80:Y80),SUM(Z80:AE80),SUM(T80:V80),SUM(W80:Y80),SUM(Z80:AB80),SUM(AC80:AE80)),0)</f>
        <v/>
      </c>
      <c r="AG80" t="inlineStr">
        <is>
          <t>Despesas com desligamento</t>
        </is>
      </c>
      <c r="AH80">
        <f>IFERROR(CHOOSE(MATCH($AG$6,{"Ano Completo","1º Semestre","2º Semestre","1º Trimestre","2º Trimestre","3º Trimestre","4º Trimestre"},0),SUM(AI80:AT80),SUM(AI80:AN80),SUM(AO80:AT80),SUM(AI80:AK80),SUM(AL80:AN80),SUM(AO80:AQ80),SUM(AR80:AT80)),0)</f>
        <v/>
      </c>
      <c r="AI80" t="n">
        <v>14754</v>
      </c>
      <c r="AJ80" t="n">
        <v>6891</v>
      </c>
      <c r="AK80" t="n">
        <v>8536</v>
      </c>
      <c r="AL80" t="n">
        <v>12776</v>
      </c>
      <c r="AM80" t="n">
        <v>5217</v>
      </c>
      <c r="AN80" t="n">
        <v>11512</v>
      </c>
      <c r="AO80" t="n">
        <v>19994</v>
      </c>
      <c r="AP80" t="n">
        <v>8255</v>
      </c>
      <c r="AQ80" t="n">
        <v>17541</v>
      </c>
      <c r="AR80" t="n">
        <v>18772</v>
      </c>
      <c r="AS80" t="n">
        <v>7908</v>
      </c>
      <c r="AT80" t="n">
        <v>18662</v>
      </c>
      <c r="AW80" t="inlineStr">
        <is>
          <t>Despesas com desligamento</t>
        </is>
      </c>
      <c r="AX80">
        <f>IFERROR(CHOOSE(MATCH($AW$6,{"Ano Completo","1º Semestre","2º Semestre","1º Trimestre","2º Trimestre","3º Trimestre","4º Trimestre"},0),SUM(AY80:BJ80),SUM(AY80:BD80),SUM(BE80:BJ80),SUM(AY80:BA80),SUM(BB80:BD80),SUM(BE80:BG80),SUM(BH80:BJ80)),0)</f>
        <v/>
      </c>
      <c r="AY80" t="n">
        <v>18763</v>
      </c>
      <c r="AZ80" t="n">
        <v>7504</v>
      </c>
      <c r="BA80" t="n">
        <v>11203</v>
      </c>
      <c r="BB80" t="n">
        <v>12394</v>
      </c>
      <c r="BC80" t="n">
        <v>7854</v>
      </c>
      <c r="BD80" t="n">
        <v>19438</v>
      </c>
      <c r="BE80" t="n">
        <v>2943</v>
      </c>
      <c r="BF80" t="n">
        <v>8727</v>
      </c>
      <c r="BG80" t="n">
        <v>11404</v>
      </c>
      <c r="BH80" t="n">
        <v>14628</v>
      </c>
      <c r="BI80" t="n">
        <v>16198</v>
      </c>
      <c r="BJ80" t="n">
        <v>15861</v>
      </c>
      <c r="BL80" t="inlineStr">
        <is>
          <t>Despesas com desligamento</t>
        </is>
      </c>
      <c r="BM80">
        <f>IFERROR(CHOOSE(MATCH($BL$6,{"Ano Completo","1º Semestre","2º Semestre","1º Trimestre","2º Trimestre","3º Trimestre","4º Trimestre"},0),SUM(BN80:BY80),SUM(BN80:BS80),SUM(BT80:BY80),SUM(BN80:BP80),SUM(BQ80:BS80),SUM(BT80:BV80),SUM(BW80:BY80)),0)</f>
        <v/>
      </c>
      <c r="BN80" t="n">
        <v>14754</v>
      </c>
      <c r="BO80" t="n">
        <v>6891</v>
      </c>
      <c r="BP80" t="n">
        <v>8536</v>
      </c>
      <c r="BQ80" t="n">
        <v>12776</v>
      </c>
      <c r="BR80" t="n">
        <v>5217</v>
      </c>
      <c r="BS80" t="n">
        <v>11512</v>
      </c>
      <c r="BT80" t="n">
        <v>19994</v>
      </c>
      <c r="BU80" t="n">
        <v>8255</v>
      </c>
      <c r="BV80" t="n">
        <v>17541</v>
      </c>
      <c r="BW80" t="n">
        <v>18772</v>
      </c>
      <c r="BX80" t="n">
        <v>7908</v>
      </c>
      <c r="BY80" t="n">
        <v>18662</v>
      </c>
      <c r="CB80" t="inlineStr">
        <is>
          <t>Despesas com desligamento</t>
        </is>
      </c>
      <c r="CC80">
        <f>IFERROR(CHOOSE(MATCH($CB$6,{"Ano Completo","1º Semestre","2º Semestre","1º Trimestre","2º Trimestre","3º Trimestre","4º Trimestre"},0),SUM(CD80:CO80),SUM(CD80:CI80),SUM(CJ80:CO80),SUM(CD80:CF80),SUM(CG80:CI80),SUM(CJ80:CL80),SUM(CM80:CO80)),0)</f>
        <v/>
      </c>
      <c r="CD80" t="n">
        <v>18763</v>
      </c>
      <c r="CE80" t="n">
        <v>7504</v>
      </c>
      <c r="CF80" t="n">
        <v>11203</v>
      </c>
      <c r="CG80" t="n">
        <v>12394</v>
      </c>
      <c r="CH80" t="n">
        <v>7854</v>
      </c>
      <c r="CI80" t="n">
        <v>19438</v>
      </c>
      <c r="CJ80" t="n">
        <v>2943</v>
      </c>
      <c r="CK80" t="n">
        <v>8727</v>
      </c>
      <c r="CL80" t="n">
        <v>11404</v>
      </c>
      <c r="CM80" t="n">
        <v>14628</v>
      </c>
      <c r="CN80" t="n">
        <v>16198</v>
      </c>
      <c r="CO80" t="n">
        <v>15861</v>
      </c>
      <c r="CQ80" t="inlineStr">
        <is>
          <t>Despesas com desligamento</t>
        </is>
      </c>
      <c r="CR80">
        <f>IFERROR(CHOOSE(MATCH($CQ$6,{"Ano Completo","1º Semestre","2º Semestre","1º Trimestre","2º Trimestre","3º Trimestre","4º Trimestre"},0),SUM(CS80:DD80),SUM(CS80:CX80),SUM(CY80:DD80),SUM(CS80:CU80),SUM(CV80:CX80),SUM(CY80:DA80),SUM(DB80:DD80)),0)</f>
        <v/>
      </c>
      <c r="CS80" t="n">
        <v>14754</v>
      </c>
      <c r="CT80" t="n">
        <v>6891</v>
      </c>
      <c r="CU80" t="n">
        <v>8536</v>
      </c>
      <c r="CV80" t="n">
        <v>12776</v>
      </c>
      <c r="CW80" t="n">
        <v>5217</v>
      </c>
      <c r="CX80" t="n">
        <v>11512</v>
      </c>
      <c r="CY80" t="n">
        <v>19994</v>
      </c>
      <c r="CZ80" t="n">
        <v>8255</v>
      </c>
      <c r="DA80" t="n">
        <v>17541</v>
      </c>
      <c r="DB80" t="n">
        <v>18772</v>
      </c>
      <c r="DC80" t="n">
        <v>7908</v>
      </c>
      <c r="DD80" t="n">
        <v>18662</v>
      </c>
      <c r="DG80" t="inlineStr">
        <is>
          <t>Despesas com desligamento</t>
        </is>
      </c>
      <c r="DH80">
        <f>IFERROR(CHOOSE(MATCH($DG$6,{"Ano Completo","1º Semestre","2º Semestre","1º Trimestre","2º Trimestre","3º Trimestre","4º Trimestre"},0),SUM(DI80:DT80),SUM(DI80:DN80),SUM(DO80:DT80),SUM(DI80:DK80),SUM(DL80:DN80),SUM(DO80:DQ80),SUM(DR80:DT80)),0)</f>
        <v/>
      </c>
      <c r="DI80" t="n">
        <v>18763</v>
      </c>
      <c r="DJ80" t="n">
        <v>7504</v>
      </c>
      <c r="DK80" t="n">
        <v>11203</v>
      </c>
      <c r="DL80" t="n">
        <v>12394</v>
      </c>
      <c r="DM80" t="n">
        <v>7854</v>
      </c>
      <c r="DN80" t="n">
        <v>19438</v>
      </c>
      <c r="DO80" t="n">
        <v>2943</v>
      </c>
      <c r="DP80" t="n">
        <v>8727</v>
      </c>
      <c r="DQ80" t="n">
        <v>11404</v>
      </c>
      <c r="DR80" t="n">
        <v>14628</v>
      </c>
      <c r="DS80" t="n">
        <v>16198</v>
      </c>
      <c r="DT80" t="n">
        <v>15861</v>
      </c>
      <c r="DV80" t="inlineStr">
        <is>
          <t>Despesas com desligamento</t>
        </is>
      </c>
      <c r="DW80">
        <f>IFERROR(CHOOSE(MATCH($DV$6,{"Ano Completo","1º Semestre","2º Semestre","1º Trimestre","2º Trimestre","3º Trimestre","4º Trimestre"},0),SUM(DX80:EI80),SUM(DX80:EC80),SUM(ED80:EI80),SUM(DX80:DZ80),SUM(EA80:EC80),SUM(ED80:EF80),SUM(EG80:EI80)),0)</f>
        <v/>
      </c>
      <c r="DX80" t="n">
        <v>14754</v>
      </c>
      <c r="DY80" t="n">
        <v>6891</v>
      </c>
      <c r="DZ80" t="n">
        <v>8536</v>
      </c>
      <c r="EA80" t="n">
        <v>12776</v>
      </c>
      <c r="EB80" t="n">
        <v>5217</v>
      </c>
      <c r="EC80" t="n">
        <v>11512</v>
      </c>
      <c r="ED80" t="n">
        <v>19994</v>
      </c>
      <c r="EE80" t="n">
        <v>8255</v>
      </c>
      <c r="EF80" t="n">
        <v>17541</v>
      </c>
      <c r="EG80" t="n">
        <v>18772</v>
      </c>
      <c r="EH80" t="n">
        <v>7908</v>
      </c>
      <c r="EI80" t="n">
        <v>18662</v>
      </c>
      <c r="EL80" t="inlineStr">
        <is>
          <t>Despesas com desligamento</t>
        </is>
      </c>
      <c r="EM80">
        <f>IFERROR(CHOOSE(MATCH($EL$6,{"Ano Completo","1º Semestre","2º Semestre","1º Trimestre","2º Trimestre","3º Trimestre","4º Trimestre"},0),SUM(EN80:EY80),SUM(EN80:ES80),SUM(ET80:EY80),SUM(EN80:EP80),SUM(EQ80:ES80),SUM(ET80:EV80),SUM(EW80:EY80)),0)</f>
        <v/>
      </c>
      <c r="EN80" t="n">
        <v>18763</v>
      </c>
      <c r="EO80" t="n">
        <v>7504</v>
      </c>
      <c r="EP80" t="n">
        <v>11203</v>
      </c>
      <c r="EQ80" t="n">
        <v>12394</v>
      </c>
      <c r="ER80" t="n">
        <v>7854</v>
      </c>
      <c r="ES80" t="n">
        <v>19438</v>
      </c>
      <c r="ET80" t="n">
        <v>2943</v>
      </c>
      <c r="EU80" t="n">
        <v>8727</v>
      </c>
      <c r="EV80" t="n">
        <v>11404</v>
      </c>
      <c r="EW80" t="n">
        <v>14628</v>
      </c>
      <c r="EX80" t="n">
        <v>16198</v>
      </c>
      <c r="EY80" t="n">
        <v>15861</v>
      </c>
    </row>
    <row r="81">
      <c r="B81" t="inlineStr">
        <is>
          <t>Treinamentos</t>
        </is>
      </c>
      <c r="C81">
        <f>IFERROR(CHOOSE(MATCH($B$6,{"Ano Completo","1º Semestre","2º Semestre","1º Trimestre","2º Trimestre","3º Trimestre","4º Trimestre"},0),SUM(D81:O81),SUM(D81:I81),SUM(J81:O81),SUM(D81:F81),SUM(G81:I81),SUM(J81:L81),SUM(M81:O81)),0)</f>
        <v/>
      </c>
      <c r="R81" t="inlineStr">
        <is>
          <t>Treinamentos</t>
        </is>
      </c>
      <c r="S81">
        <f>IFERROR(CHOOSE(MATCH($R$6,{"Ano Completo","1º Semestre","2º Semestre","1º Trimestre","2º Trimestre","3º Trimestre","4º Trimestre"},0),SUM(T81:AE81),SUM(T81:Y81),SUM(Z81:AE81),SUM(T81:V81),SUM(W81:Y81),SUM(Z81:AB81),SUM(AC81:AE81)),0)</f>
        <v/>
      </c>
      <c r="AG81" t="inlineStr">
        <is>
          <t>Treinamentos</t>
        </is>
      </c>
      <c r="AH81">
        <f>IFERROR(CHOOSE(MATCH($AG$6,{"Ano Completo","1º Semestre","2º Semestre","1º Trimestre","2º Trimestre","3º Trimestre","4º Trimestre"},0),SUM(AI81:AT81),SUM(AI81:AN81),SUM(AO81:AT81),SUM(AI81:AK81),SUM(AL81:AN81),SUM(AO81:AQ81),SUM(AR81:AT81)),0)</f>
        <v/>
      </c>
      <c r="AI81" t="n">
        <v>6745</v>
      </c>
      <c r="AJ81" t="n">
        <v>19293</v>
      </c>
      <c r="AK81" t="n">
        <v>4392</v>
      </c>
      <c r="AL81" t="n">
        <v>19778</v>
      </c>
      <c r="AM81" t="n">
        <v>18938</v>
      </c>
      <c r="AN81" t="n">
        <v>18054</v>
      </c>
      <c r="AO81" t="n">
        <v>14490</v>
      </c>
      <c r="AP81" t="n">
        <v>2891</v>
      </c>
      <c r="AQ81" t="n">
        <v>13601</v>
      </c>
      <c r="AR81" t="n">
        <v>13050</v>
      </c>
      <c r="AS81" t="n">
        <v>2998</v>
      </c>
      <c r="AT81" t="n">
        <v>1924</v>
      </c>
      <c r="AW81" t="inlineStr">
        <is>
          <t>Treinamentos</t>
        </is>
      </c>
      <c r="AX81">
        <f>IFERROR(CHOOSE(MATCH($AW$6,{"Ano Completo","1º Semestre","2º Semestre","1º Trimestre","2º Trimestre","3º Trimestre","4º Trimestre"},0),SUM(AY81:BJ81),SUM(AY81:BD81),SUM(BE81:BJ81),SUM(AY81:BA81),SUM(BB81:BD81),SUM(BE81:BG81),SUM(BH81:BJ81)),0)</f>
        <v/>
      </c>
      <c r="AY81" t="n">
        <v>11154</v>
      </c>
      <c r="AZ81" t="n">
        <v>3443</v>
      </c>
      <c r="BA81" t="n">
        <v>6231</v>
      </c>
      <c r="BB81" t="n">
        <v>13093</v>
      </c>
      <c r="BC81" t="n">
        <v>3992</v>
      </c>
      <c r="BD81" t="n">
        <v>9355</v>
      </c>
      <c r="BE81" t="n">
        <v>10447</v>
      </c>
      <c r="BF81" t="n">
        <v>7515</v>
      </c>
      <c r="BG81" t="n">
        <v>19619</v>
      </c>
      <c r="BH81" t="n">
        <v>18911</v>
      </c>
      <c r="BI81" t="n">
        <v>3303</v>
      </c>
      <c r="BJ81" t="n">
        <v>13755</v>
      </c>
      <c r="BL81" t="inlineStr">
        <is>
          <t>Treinamentos</t>
        </is>
      </c>
      <c r="BM81">
        <f>IFERROR(CHOOSE(MATCH($BL$6,{"Ano Completo","1º Semestre","2º Semestre","1º Trimestre","2º Trimestre","3º Trimestre","4º Trimestre"},0),SUM(BN81:BY81),SUM(BN81:BS81),SUM(BT81:BY81),SUM(BN81:BP81),SUM(BQ81:BS81),SUM(BT81:BV81),SUM(BW81:BY81)),0)</f>
        <v/>
      </c>
      <c r="BN81" t="n">
        <v>6745</v>
      </c>
      <c r="BO81" t="n">
        <v>19293</v>
      </c>
      <c r="BP81" t="n">
        <v>4392</v>
      </c>
      <c r="BQ81" t="n">
        <v>19778</v>
      </c>
      <c r="BR81" t="n">
        <v>18938</v>
      </c>
      <c r="BS81" t="n">
        <v>18054</v>
      </c>
      <c r="BT81" t="n">
        <v>14490</v>
      </c>
      <c r="BU81" t="n">
        <v>2891</v>
      </c>
      <c r="BV81" t="n">
        <v>13601</v>
      </c>
      <c r="BW81" t="n">
        <v>13050</v>
      </c>
      <c r="BX81" t="n">
        <v>2998</v>
      </c>
      <c r="BY81" t="n">
        <v>1924</v>
      </c>
      <c r="CB81" t="inlineStr">
        <is>
          <t>Treinamentos</t>
        </is>
      </c>
      <c r="CC81">
        <f>IFERROR(CHOOSE(MATCH($CB$6,{"Ano Completo","1º Semestre","2º Semestre","1º Trimestre","2º Trimestre","3º Trimestre","4º Trimestre"},0),SUM(CD81:CO81),SUM(CD81:CI81),SUM(CJ81:CO81),SUM(CD81:CF81),SUM(CG81:CI81),SUM(CJ81:CL81),SUM(CM81:CO81)),0)</f>
        <v/>
      </c>
      <c r="CD81" t="n">
        <v>11154</v>
      </c>
      <c r="CE81" t="n">
        <v>3443</v>
      </c>
      <c r="CF81" t="n">
        <v>6231</v>
      </c>
      <c r="CG81" t="n">
        <v>13093</v>
      </c>
      <c r="CH81" t="n">
        <v>3992</v>
      </c>
      <c r="CI81" t="n">
        <v>9355</v>
      </c>
      <c r="CJ81" t="n">
        <v>10447</v>
      </c>
      <c r="CK81" t="n">
        <v>7515</v>
      </c>
      <c r="CL81" t="n">
        <v>19619</v>
      </c>
      <c r="CM81" t="n">
        <v>18911</v>
      </c>
      <c r="CN81" t="n">
        <v>3303</v>
      </c>
      <c r="CO81" t="n">
        <v>13755</v>
      </c>
      <c r="CQ81" t="inlineStr">
        <is>
          <t>Treinamentos</t>
        </is>
      </c>
      <c r="CR81">
        <f>IFERROR(CHOOSE(MATCH($CQ$6,{"Ano Completo","1º Semestre","2º Semestre","1º Trimestre","2º Trimestre","3º Trimestre","4º Trimestre"},0),SUM(CS81:DD81),SUM(CS81:CX81),SUM(CY81:DD81),SUM(CS81:CU81),SUM(CV81:CX81),SUM(CY81:DA81),SUM(DB81:DD81)),0)</f>
        <v/>
      </c>
      <c r="CS81" t="n">
        <v>6745</v>
      </c>
      <c r="CT81" t="n">
        <v>19293</v>
      </c>
      <c r="CU81" t="n">
        <v>4392</v>
      </c>
      <c r="CV81" t="n">
        <v>19778</v>
      </c>
      <c r="CW81" t="n">
        <v>18938</v>
      </c>
      <c r="CX81" t="n">
        <v>18054</v>
      </c>
      <c r="CY81" t="n">
        <v>14490</v>
      </c>
      <c r="CZ81" t="n">
        <v>2891</v>
      </c>
      <c r="DA81" t="n">
        <v>13601</v>
      </c>
      <c r="DB81" t="n">
        <v>13050</v>
      </c>
      <c r="DC81" t="n">
        <v>2998</v>
      </c>
      <c r="DD81" t="n">
        <v>1924</v>
      </c>
      <c r="DG81" t="inlineStr">
        <is>
          <t>Treinamentos</t>
        </is>
      </c>
      <c r="DH81">
        <f>IFERROR(CHOOSE(MATCH($DG$6,{"Ano Completo","1º Semestre","2º Semestre","1º Trimestre","2º Trimestre","3º Trimestre","4º Trimestre"},0),SUM(DI81:DT81),SUM(DI81:DN81),SUM(DO81:DT81),SUM(DI81:DK81),SUM(DL81:DN81),SUM(DO81:DQ81),SUM(DR81:DT81)),0)</f>
        <v/>
      </c>
      <c r="DI81" t="n">
        <v>11154</v>
      </c>
      <c r="DJ81" t="n">
        <v>3443</v>
      </c>
      <c r="DK81" t="n">
        <v>6231</v>
      </c>
      <c r="DL81" t="n">
        <v>13093</v>
      </c>
      <c r="DM81" t="n">
        <v>3992</v>
      </c>
      <c r="DN81" t="n">
        <v>9355</v>
      </c>
      <c r="DO81" t="n">
        <v>10447</v>
      </c>
      <c r="DP81" t="n">
        <v>7515</v>
      </c>
      <c r="DQ81" t="n">
        <v>19619</v>
      </c>
      <c r="DR81" t="n">
        <v>18911</v>
      </c>
      <c r="DS81" t="n">
        <v>3303</v>
      </c>
      <c r="DT81" t="n">
        <v>13755</v>
      </c>
      <c r="DV81" t="inlineStr">
        <is>
          <t>Treinamentos</t>
        </is>
      </c>
      <c r="DW81">
        <f>IFERROR(CHOOSE(MATCH($DV$6,{"Ano Completo","1º Semestre","2º Semestre","1º Trimestre","2º Trimestre","3º Trimestre","4º Trimestre"},0),SUM(DX81:EI81),SUM(DX81:EC81),SUM(ED81:EI81),SUM(DX81:DZ81),SUM(EA81:EC81),SUM(ED81:EF81),SUM(EG81:EI81)),0)</f>
        <v/>
      </c>
      <c r="DX81" t="n">
        <v>6745</v>
      </c>
      <c r="DY81" t="n">
        <v>19293</v>
      </c>
      <c r="DZ81" t="n">
        <v>4392</v>
      </c>
      <c r="EA81" t="n">
        <v>19778</v>
      </c>
      <c r="EB81" t="n">
        <v>18938</v>
      </c>
      <c r="EC81" t="n">
        <v>18054</v>
      </c>
      <c r="ED81" t="n">
        <v>14490</v>
      </c>
      <c r="EE81" t="n">
        <v>2891</v>
      </c>
      <c r="EF81" t="n">
        <v>13601</v>
      </c>
      <c r="EG81" t="n">
        <v>13050</v>
      </c>
      <c r="EH81" t="n">
        <v>2998</v>
      </c>
      <c r="EI81" t="n">
        <v>1924</v>
      </c>
      <c r="EL81" t="inlineStr">
        <is>
          <t>Treinamentos</t>
        </is>
      </c>
      <c r="EM81">
        <f>IFERROR(CHOOSE(MATCH($EL$6,{"Ano Completo","1º Semestre","2º Semestre","1º Trimestre","2º Trimestre","3º Trimestre","4º Trimestre"},0),SUM(EN81:EY81),SUM(EN81:ES81),SUM(ET81:EY81),SUM(EN81:EP81),SUM(EQ81:ES81),SUM(ET81:EV81),SUM(EW81:EY81)),0)</f>
        <v/>
      </c>
      <c r="EN81" t="n">
        <v>11154</v>
      </c>
      <c r="EO81" t="n">
        <v>3443</v>
      </c>
      <c r="EP81" t="n">
        <v>6231</v>
      </c>
      <c r="EQ81" t="n">
        <v>13093</v>
      </c>
      <c r="ER81" t="n">
        <v>3992</v>
      </c>
      <c r="ES81" t="n">
        <v>9355</v>
      </c>
      <c r="ET81" t="n">
        <v>10447</v>
      </c>
      <c r="EU81" t="n">
        <v>7515</v>
      </c>
      <c r="EV81" t="n">
        <v>19619</v>
      </c>
      <c r="EW81" t="n">
        <v>18911</v>
      </c>
      <c r="EX81" t="n">
        <v>3303</v>
      </c>
      <c r="EY81" t="n">
        <v>13755</v>
      </c>
    </row>
    <row r="82">
      <c r="B82" t="inlineStr">
        <is>
          <t>Outras remunerações (não CLT)</t>
        </is>
      </c>
      <c r="C82">
        <f>IFERROR(CHOOSE(MATCH($B$6,{"Ano Completo","1º Semestre","2º Semestre","1º Trimestre","2º Trimestre","3º Trimestre","4º Trimestre"},0),SUM(D82:O82),SUM(D82:I82),SUM(J82:O82),SUM(D82:F82),SUM(G82:I82),SUM(J82:L82),SUM(M82:O82)),0)</f>
        <v/>
      </c>
      <c r="R82" t="inlineStr">
        <is>
          <t>Outras remunerações (não CLT)</t>
        </is>
      </c>
      <c r="S82">
        <f>IFERROR(CHOOSE(MATCH($R$6,{"Ano Completo","1º Semestre","2º Semestre","1º Trimestre","2º Trimestre","3º Trimestre","4º Trimestre"},0),SUM(T82:AE82),SUM(T82:Y82),SUM(Z82:AE82),SUM(T82:V82),SUM(W82:Y82),SUM(Z82:AB82),SUM(AC82:AE82)),0)</f>
        <v/>
      </c>
      <c r="AG82" t="inlineStr">
        <is>
          <t>Outras remunerações (não CLT)</t>
        </is>
      </c>
      <c r="AH82">
        <f>IFERROR(CHOOSE(MATCH($AG$6,{"Ano Completo","1º Semestre","2º Semestre","1º Trimestre","2º Trimestre","3º Trimestre","4º Trimestre"},0),SUM(AI82:AT82),SUM(AI82:AN82),SUM(AO82:AT82),SUM(AI82:AK82),SUM(AL82:AN82),SUM(AO82:AQ82),SUM(AR82:AT82)),0)</f>
        <v/>
      </c>
      <c r="AI82" t="n">
        <v>15215</v>
      </c>
      <c r="AJ82" t="n">
        <v>19435</v>
      </c>
      <c r="AK82" t="n">
        <v>18121</v>
      </c>
      <c r="AL82" t="n">
        <v>18430</v>
      </c>
      <c r="AM82" t="n">
        <v>10917</v>
      </c>
      <c r="AN82" t="n">
        <v>10243</v>
      </c>
      <c r="AO82" t="n">
        <v>7518</v>
      </c>
      <c r="AP82" t="n">
        <v>14951</v>
      </c>
      <c r="AQ82" t="n">
        <v>12277</v>
      </c>
      <c r="AR82" t="n">
        <v>18016</v>
      </c>
      <c r="AS82" t="n">
        <v>9169</v>
      </c>
      <c r="AT82" t="n">
        <v>2832</v>
      </c>
      <c r="AW82" t="inlineStr">
        <is>
          <t>Outras remunerações (não CLT)</t>
        </is>
      </c>
      <c r="AX82">
        <f>IFERROR(CHOOSE(MATCH($AW$6,{"Ano Completo","1º Semestre","2º Semestre","1º Trimestre","2º Trimestre","3º Trimestre","4º Trimestre"},0),SUM(AY82:BJ82),SUM(AY82:BD82),SUM(BE82:BJ82),SUM(AY82:BA82),SUM(BB82:BD82),SUM(BE82:BG82),SUM(BH82:BJ82)),0)</f>
        <v/>
      </c>
      <c r="AY82" t="n">
        <v>3844</v>
      </c>
      <c r="AZ82" t="n">
        <v>19674</v>
      </c>
      <c r="BA82" t="n">
        <v>19581</v>
      </c>
      <c r="BB82" t="n">
        <v>10307</v>
      </c>
      <c r="BC82" t="n">
        <v>2085</v>
      </c>
      <c r="BD82" t="n">
        <v>12293</v>
      </c>
      <c r="BE82" t="n">
        <v>6650</v>
      </c>
      <c r="BF82" t="n">
        <v>5582</v>
      </c>
      <c r="BG82" t="n">
        <v>4822</v>
      </c>
      <c r="BH82" t="n">
        <v>12352</v>
      </c>
      <c r="BI82" t="n">
        <v>6233</v>
      </c>
      <c r="BJ82" t="n">
        <v>18178</v>
      </c>
      <c r="BL82" t="inlineStr">
        <is>
          <t>Outras remunerações (não CLT)</t>
        </is>
      </c>
      <c r="BM82">
        <f>IFERROR(CHOOSE(MATCH($BL$6,{"Ano Completo","1º Semestre","2º Semestre","1º Trimestre","2º Trimestre","3º Trimestre","4º Trimestre"},0),SUM(BN82:BY82),SUM(BN82:BS82),SUM(BT82:BY82),SUM(BN82:BP82),SUM(BQ82:BS82),SUM(BT82:BV82),SUM(BW82:BY82)),0)</f>
        <v/>
      </c>
      <c r="BN82" t="n">
        <v>15215</v>
      </c>
      <c r="BO82" t="n">
        <v>19435</v>
      </c>
      <c r="BP82" t="n">
        <v>18121</v>
      </c>
      <c r="BQ82" t="n">
        <v>18430</v>
      </c>
      <c r="BR82" t="n">
        <v>10917</v>
      </c>
      <c r="BS82" t="n">
        <v>10243</v>
      </c>
      <c r="BT82" t="n">
        <v>7518</v>
      </c>
      <c r="BU82" t="n">
        <v>14951</v>
      </c>
      <c r="BV82" t="n">
        <v>12277</v>
      </c>
      <c r="BW82" t="n">
        <v>18016</v>
      </c>
      <c r="BX82" t="n">
        <v>9169</v>
      </c>
      <c r="BY82" t="n">
        <v>2832</v>
      </c>
      <c r="CB82" t="inlineStr">
        <is>
          <t>Outras remunerações (não CLT)</t>
        </is>
      </c>
      <c r="CC82">
        <f>IFERROR(CHOOSE(MATCH($CB$6,{"Ano Completo","1º Semestre","2º Semestre","1º Trimestre","2º Trimestre","3º Trimestre","4º Trimestre"},0),SUM(CD82:CO82),SUM(CD82:CI82),SUM(CJ82:CO82),SUM(CD82:CF82),SUM(CG82:CI82),SUM(CJ82:CL82),SUM(CM82:CO82)),0)</f>
        <v/>
      </c>
      <c r="CD82" t="n">
        <v>3844</v>
      </c>
      <c r="CE82" t="n">
        <v>19674</v>
      </c>
      <c r="CF82" t="n">
        <v>19581</v>
      </c>
      <c r="CG82" t="n">
        <v>10307</v>
      </c>
      <c r="CH82" t="n">
        <v>2085</v>
      </c>
      <c r="CI82" t="n">
        <v>12293</v>
      </c>
      <c r="CJ82" t="n">
        <v>6650</v>
      </c>
      <c r="CK82" t="n">
        <v>5582</v>
      </c>
      <c r="CL82" t="n">
        <v>4822</v>
      </c>
      <c r="CM82" t="n">
        <v>12352</v>
      </c>
      <c r="CN82" t="n">
        <v>6233</v>
      </c>
      <c r="CO82" t="n">
        <v>18178</v>
      </c>
      <c r="CQ82" t="inlineStr">
        <is>
          <t>Outras remunerações (não CLT)</t>
        </is>
      </c>
      <c r="CR82">
        <f>IFERROR(CHOOSE(MATCH($CQ$6,{"Ano Completo","1º Semestre","2º Semestre","1º Trimestre","2º Trimestre","3º Trimestre","4º Trimestre"},0),SUM(CS82:DD82),SUM(CS82:CX82),SUM(CY82:DD82),SUM(CS82:CU82),SUM(CV82:CX82),SUM(CY82:DA82),SUM(DB82:DD82)),0)</f>
        <v/>
      </c>
      <c r="CS82" t="n">
        <v>15215</v>
      </c>
      <c r="CT82" t="n">
        <v>19435</v>
      </c>
      <c r="CU82" t="n">
        <v>18121</v>
      </c>
      <c r="CV82" t="n">
        <v>18430</v>
      </c>
      <c r="CW82" t="n">
        <v>10917</v>
      </c>
      <c r="CX82" t="n">
        <v>10243</v>
      </c>
      <c r="CY82" t="n">
        <v>7518</v>
      </c>
      <c r="CZ82" t="n">
        <v>14951</v>
      </c>
      <c r="DA82" t="n">
        <v>12277</v>
      </c>
      <c r="DB82" t="n">
        <v>18016</v>
      </c>
      <c r="DC82" t="n">
        <v>9169</v>
      </c>
      <c r="DD82" t="n">
        <v>2832</v>
      </c>
      <c r="DG82" t="inlineStr">
        <is>
          <t>Outras remunerações (não CLT)</t>
        </is>
      </c>
      <c r="DH82">
        <f>IFERROR(CHOOSE(MATCH($DG$6,{"Ano Completo","1º Semestre","2º Semestre","1º Trimestre","2º Trimestre","3º Trimestre","4º Trimestre"},0),SUM(DI82:DT82),SUM(DI82:DN82),SUM(DO82:DT82),SUM(DI82:DK82),SUM(DL82:DN82),SUM(DO82:DQ82),SUM(DR82:DT82)),0)</f>
        <v/>
      </c>
      <c r="DI82" t="n">
        <v>3844</v>
      </c>
      <c r="DJ82" t="n">
        <v>19674</v>
      </c>
      <c r="DK82" t="n">
        <v>19581</v>
      </c>
      <c r="DL82" t="n">
        <v>10307</v>
      </c>
      <c r="DM82" t="n">
        <v>2085</v>
      </c>
      <c r="DN82" t="n">
        <v>12293</v>
      </c>
      <c r="DO82" t="n">
        <v>6650</v>
      </c>
      <c r="DP82" t="n">
        <v>5582</v>
      </c>
      <c r="DQ82" t="n">
        <v>4822</v>
      </c>
      <c r="DR82" t="n">
        <v>12352</v>
      </c>
      <c r="DS82" t="n">
        <v>6233</v>
      </c>
      <c r="DT82" t="n">
        <v>18178</v>
      </c>
      <c r="DV82" t="inlineStr">
        <is>
          <t>Outras remunerações (não CLT)</t>
        </is>
      </c>
      <c r="DW82">
        <f>IFERROR(CHOOSE(MATCH($DV$6,{"Ano Completo","1º Semestre","2º Semestre","1º Trimestre","2º Trimestre","3º Trimestre","4º Trimestre"},0),SUM(DX82:EI82),SUM(DX82:EC82),SUM(ED82:EI82),SUM(DX82:DZ82),SUM(EA82:EC82),SUM(ED82:EF82),SUM(EG82:EI82)),0)</f>
        <v/>
      </c>
      <c r="DX82" t="n">
        <v>15215</v>
      </c>
      <c r="DY82" t="n">
        <v>19435</v>
      </c>
      <c r="DZ82" t="n">
        <v>18121</v>
      </c>
      <c r="EA82" t="n">
        <v>18430</v>
      </c>
      <c r="EB82" t="n">
        <v>10917</v>
      </c>
      <c r="EC82" t="n">
        <v>10243</v>
      </c>
      <c r="ED82" t="n">
        <v>7518</v>
      </c>
      <c r="EE82" t="n">
        <v>14951</v>
      </c>
      <c r="EF82" t="n">
        <v>12277</v>
      </c>
      <c r="EG82" t="n">
        <v>18016</v>
      </c>
      <c r="EH82" t="n">
        <v>9169</v>
      </c>
      <c r="EI82" t="n">
        <v>2832</v>
      </c>
      <c r="EL82" t="inlineStr">
        <is>
          <t>Outras remunerações (não CLT)</t>
        </is>
      </c>
      <c r="EM82">
        <f>IFERROR(CHOOSE(MATCH($EL$6,{"Ano Completo","1º Semestre","2º Semestre","1º Trimestre","2º Trimestre","3º Trimestre","4º Trimestre"},0),SUM(EN82:EY82),SUM(EN82:ES82),SUM(ET82:EY82),SUM(EN82:EP82),SUM(EQ82:ES82),SUM(ET82:EV82),SUM(EW82:EY82)),0)</f>
        <v/>
      </c>
      <c r="EN82" t="n">
        <v>3844</v>
      </c>
      <c r="EO82" t="n">
        <v>19674</v>
      </c>
      <c r="EP82" t="n">
        <v>19581</v>
      </c>
      <c r="EQ82" t="n">
        <v>10307</v>
      </c>
      <c r="ER82" t="n">
        <v>2085</v>
      </c>
      <c r="ES82" t="n">
        <v>12293</v>
      </c>
      <c r="ET82" t="n">
        <v>6650</v>
      </c>
      <c r="EU82" t="n">
        <v>5582</v>
      </c>
      <c r="EV82" t="n">
        <v>4822</v>
      </c>
      <c r="EW82" t="n">
        <v>12352</v>
      </c>
      <c r="EX82" t="n">
        <v>6233</v>
      </c>
      <c r="EY82" t="n">
        <v>18178</v>
      </c>
    </row>
    <row r="83">
      <c r="B83" t="inlineStr">
        <is>
          <t>Férias</t>
        </is>
      </c>
      <c r="C83">
        <f>IFERROR(CHOOSE(MATCH($B$6,{"Ano Completo","1º Semestre","2º Semestre","1º Trimestre","2º Trimestre","3º Trimestre","4º Trimestre"},0),SUM(D83:O83),SUM(D83:I83),SUM(J83:O83),SUM(D83:F83),SUM(G83:I83),SUM(J83:L83),SUM(M83:O83)),0)</f>
        <v/>
      </c>
      <c r="R83" t="inlineStr">
        <is>
          <t>Férias</t>
        </is>
      </c>
      <c r="S83">
        <f>IFERROR(CHOOSE(MATCH($R$6,{"Ano Completo","1º Semestre","2º Semestre","1º Trimestre","2º Trimestre","3º Trimestre","4º Trimestre"},0),SUM(T83:AE83),SUM(T83:Y83),SUM(Z83:AE83),SUM(T83:V83),SUM(W83:Y83),SUM(Z83:AB83),SUM(AC83:AE83)),0)</f>
        <v/>
      </c>
      <c r="AG83" t="inlineStr">
        <is>
          <t>Férias</t>
        </is>
      </c>
      <c r="AH83">
        <f>IFERROR(CHOOSE(MATCH($AG$6,{"Ano Completo","1º Semestre","2º Semestre","1º Trimestre","2º Trimestre","3º Trimestre","4º Trimestre"},0),SUM(AI83:AT83),SUM(AI83:AN83),SUM(AO83:AT83),SUM(AI83:AK83),SUM(AL83:AN83),SUM(AO83:AQ83),SUM(AR83:AT83)),0)</f>
        <v/>
      </c>
      <c r="AI83" t="n">
        <v>17232</v>
      </c>
      <c r="AJ83" t="n">
        <v>3308</v>
      </c>
      <c r="AK83" t="n">
        <v>5231</v>
      </c>
      <c r="AL83" t="n">
        <v>18982</v>
      </c>
      <c r="AM83" t="n">
        <v>10396</v>
      </c>
      <c r="AN83" t="n">
        <v>4060</v>
      </c>
      <c r="AO83" t="n">
        <v>15583</v>
      </c>
      <c r="AP83" t="n">
        <v>10907</v>
      </c>
      <c r="AQ83" t="n">
        <v>9796</v>
      </c>
      <c r="AR83" t="n">
        <v>11436</v>
      </c>
      <c r="AS83" t="n">
        <v>5250</v>
      </c>
      <c r="AT83" t="n">
        <v>17483</v>
      </c>
      <c r="AW83" t="inlineStr">
        <is>
          <t>Férias</t>
        </is>
      </c>
      <c r="AX83">
        <f>IFERROR(CHOOSE(MATCH($AW$6,{"Ano Completo","1º Semestre","2º Semestre","1º Trimestre","2º Trimestre","3º Trimestre","4º Trimestre"},0),SUM(AY83:BJ83),SUM(AY83:BD83),SUM(BE83:BJ83),SUM(AY83:BA83),SUM(BB83:BD83),SUM(BE83:BG83),SUM(BH83:BJ83)),0)</f>
        <v/>
      </c>
      <c r="AY83" t="n">
        <v>6745</v>
      </c>
      <c r="AZ83" t="n">
        <v>4079</v>
      </c>
      <c r="BA83" t="n">
        <v>18656</v>
      </c>
      <c r="BB83" t="n">
        <v>10216</v>
      </c>
      <c r="BC83" t="n">
        <v>6961</v>
      </c>
      <c r="BD83" t="n">
        <v>17010</v>
      </c>
      <c r="BE83" t="n">
        <v>5689</v>
      </c>
      <c r="BF83" t="n">
        <v>2587</v>
      </c>
      <c r="BG83" t="n">
        <v>2528</v>
      </c>
      <c r="BH83" t="n">
        <v>11257</v>
      </c>
      <c r="BI83" t="n">
        <v>10032</v>
      </c>
      <c r="BJ83" t="n">
        <v>9251</v>
      </c>
      <c r="BL83" t="inlineStr">
        <is>
          <t>Férias</t>
        </is>
      </c>
      <c r="BM83">
        <f>IFERROR(CHOOSE(MATCH($BL$6,{"Ano Completo","1º Semestre","2º Semestre","1º Trimestre","2º Trimestre","3º Trimestre","4º Trimestre"},0),SUM(BN83:BY83),SUM(BN83:BS83),SUM(BT83:BY83),SUM(BN83:BP83),SUM(BQ83:BS83),SUM(BT83:BV83),SUM(BW83:BY83)),0)</f>
        <v/>
      </c>
      <c r="BN83" t="n">
        <v>17232</v>
      </c>
      <c r="BO83" t="n">
        <v>3308</v>
      </c>
      <c r="BP83" t="n">
        <v>5231</v>
      </c>
      <c r="BQ83" t="n">
        <v>18982</v>
      </c>
      <c r="BR83" t="n">
        <v>10396</v>
      </c>
      <c r="BS83" t="n">
        <v>4060</v>
      </c>
      <c r="BT83" t="n">
        <v>15583</v>
      </c>
      <c r="BU83" t="n">
        <v>10907</v>
      </c>
      <c r="BV83" t="n">
        <v>9796</v>
      </c>
      <c r="BW83" t="n">
        <v>11436</v>
      </c>
      <c r="BX83" t="n">
        <v>5250</v>
      </c>
      <c r="BY83" t="n">
        <v>17483</v>
      </c>
      <c r="CB83" t="inlineStr">
        <is>
          <t>Férias</t>
        </is>
      </c>
      <c r="CC83">
        <f>IFERROR(CHOOSE(MATCH($CB$6,{"Ano Completo","1º Semestre","2º Semestre","1º Trimestre","2º Trimestre","3º Trimestre","4º Trimestre"},0),SUM(CD83:CO83),SUM(CD83:CI83),SUM(CJ83:CO83),SUM(CD83:CF83),SUM(CG83:CI83),SUM(CJ83:CL83),SUM(CM83:CO83)),0)</f>
        <v/>
      </c>
      <c r="CD83" t="n">
        <v>6745</v>
      </c>
      <c r="CE83" t="n">
        <v>4079</v>
      </c>
      <c r="CF83" t="n">
        <v>18656</v>
      </c>
      <c r="CG83" t="n">
        <v>10216</v>
      </c>
      <c r="CH83" t="n">
        <v>6961</v>
      </c>
      <c r="CI83" t="n">
        <v>17010</v>
      </c>
      <c r="CJ83" t="n">
        <v>5689</v>
      </c>
      <c r="CK83" t="n">
        <v>2587</v>
      </c>
      <c r="CL83" t="n">
        <v>2528</v>
      </c>
      <c r="CM83" t="n">
        <v>11257</v>
      </c>
      <c r="CN83" t="n">
        <v>10032</v>
      </c>
      <c r="CO83" t="n">
        <v>9251</v>
      </c>
      <c r="CQ83" t="inlineStr">
        <is>
          <t>Férias</t>
        </is>
      </c>
      <c r="CR83">
        <f>IFERROR(CHOOSE(MATCH($CQ$6,{"Ano Completo","1º Semestre","2º Semestre","1º Trimestre","2º Trimestre","3º Trimestre","4º Trimestre"},0),SUM(CS83:DD83),SUM(CS83:CX83),SUM(CY83:DD83),SUM(CS83:CU83),SUM(CV83:CX83),SUM(CY83:DA83),SUM(DB83:DD83)),0)</f>
        <v/>
      </c>
      <c r="CS83" t="n">
        <v>17232</v>
      </c>
      <c r="CT83" t="n">
        <v>3308</v>
      </c>
      <c r="CU83" t="n">
        <v>5231</v>
      </c>
      <c r="CV83" t="n">
        <v>18982</v>
      </c>
      <c r="CW83" t="n">
        <v>10396</v>
      </c>
      <c r="CX83" t="n">
        <v>4060</v>
      </c>
      <c r="CY83" t="n">
        <v>15583</v>
      </c>
      <c r="CZ83" t="n">
        <v>10907</v>
      </c>
      <c r="DA83" t="n">
        <v>9796</v>
      </c>
      <c r="DB83" t="n">
        <v>11436</v>
      </c>
      <c r="DC83" t="n">
        <v>5250</v>
      </c>
      <c r="DD83" t="n">
        <v>17483</v>
      </c>
      <c r="DG83" t="inlineStr">
        <is>
          <t>Férias</t>
        </is>
      </c>
      <c r="DH83">
        <f>IFERROR(CHOOSE(MATCH($DG$6,{"Ano Completo","1º Semestre","2º Semestre","1º Trimestre","2º Trimestre","3º Trimestre","4º Trimestre"},0),SUM(DI83:DT83),SUM(DI83:DN83),SUM(DO83:DT83),SUM(DI83:DK83),SUM(DL83:DN83),SUM(DO83:DQ83),SUM(DR83:DT83)),0)</f>
        <v/>
      </c>
      <c r="DI83" t="n">
        <v>6745</v>
      </c>
      <c r="DJ83" t="n">
        <v>4079</v>
      </c>
      <c r="DK83" t="n">
        <v>18656</v>
      </c>
      <c r="DL83" t="n">
        <v>10216</v>
      </c>
      <c r="DM83" t="n">
        <v>6961</v>
      </c>
      <c r="DN83" t="n">
        <v>17010</v>
      </c>
      <c r="DO83" t="n">
        <v>5689</v>
      </c>
      <c r="DP83" t="n">
        <v>2587</v>
      </c>
      <c r="DQ83" t="n">
        <v>2528</v>
      </c>
      <c r="DR83" t="n">
        <v>11257</v>
      </c>
      <c r="DS83" t="n">
        <v>10032</v>
      </c>
      <c r="DT83" t="n">
        <v>9251</v>
      </c>
      <c r="DV83" t="inlineStr">
        <is>
          <t>Férias</t>
        </is>
      </c>
      <c r="DW83">
        <f>IFERROR(CHOOSE(MATCH($DV$6,{"Ano Completo","1º Semestre","2º Semestre","1º Trimestre","2º Trimestre","3º Trimestre","4º Trimestre"},0),SUM(DX83:EI83),SUM(DX83:EC83),SUM(ED83:EI83),SUM(DX83:DZ83),SUM(EA83:EC83),SUM(ED83:EF83),SUM(EG83:EI83)),0)</f>
        <v/>
      </c>
      <c r="DX83" t="n">
        <v>17232</v>
      </c>
      <c r="DY83" t="n">
        <v>3308</v>
      </c>
      <c r="DZ83" t="n">
        <v>5231</v>
      </c>
      <c r="EA83" t="n">
        <v>18982</v>
      </c>
      <c r="EB83" t="n">
        <v>10396</v>
      </c>
      <c r="EC83" t="n">
        <v>4060</v>
      </c>
      <c r="ED83" t="n">
        <v>15583</v>
      </c>
      <c r="EE83" t="n">
        <v>10907</v>
      </c>
      <c r="EF83" t="n">
        <v>9796</v>
      </c>
      <c r="EG83" t="n">
        <v>11436</v>
      </c>
      <c r="EH83" t="n">
        <v>5250</v>
      </c>
      <c r="EI83" t="n">
        <v>17483</v>
      </c>
      <c r="EL83" t="inlineStr">
        <is>
          <t>Férias</t>
        </is>
      </c>
      <c r="EM83">
        <f>IFERROR(CHOOSE(MATCH($EL$6,{"Ano Completo","1º Semestre","2º Semestre","1º Trimestre","2º Trimestre","3º Trimestre","4º Trimestre"},0),SUM(EN83:EY83),SUM(EN83:ES83),SUM(ET83:EY83),SUM(EN83:EP83),SUM(EQ83:ES83),SUM(ET83:EV83),SUM(EW83:EY83)),0)</f>
        <v/>
      </c>
      <c r="EN83" t="n">
        <v>6745</v>
      </c>
      <c r="EO83" t="n">
        <v>4079</v>
      </c>
      <c r="EP83" t="n">
        <v>18656</v>
      </c>
      <c r="EQ83" t="n">
        <v>10216</v>
      </c>
      <c r="ER83" t="n">
        <v>6961</v>
      </c>
      <c r="ES83" t="n">
        <v>17010</v>
      </c>
      <c r="ET83" t="n">
        <v>5689</v>
      </c>
      <c r="EU83" t="n">
        <v>2587</v>
      </c>
      <c r="EV83" t="n">
        <v>2528</v>
      </c>
      <c r="EW83" t="n">
        <v>11257</v>
      </c>
      <c r="EX83" t="n">
        <v>10032</v>
      </c>
      <c r="EY83" t="n">
        <v>9251</v>
      </c>
    </row>
    <row r="84">
      <c r="B84" t="inlineStr">
        <is>
          <t>Comissões e Prêmios</t>
        </is>
      </c>
      <c r="C84">
        <f>IFERROR(CHOOSE(MATCH($B$6,{"Ano Completo","1º Semestre","2º Semestre","1º Trimestre","2º Trimestre","3º Trimestre","4º Trimestre"},0),SUM(D84:O84),SUM(D84:I84),SUM(J84:O84),SUM(D84:F84),SUM(G84:I84),SUM(J84:L84),SUM(M84:O84)),0)</f>
        <v/>
      </c>
      <c r="R84" t="inlineStr">
        <is>
          <t>Comissões e Prêmios</t>
        </is>
      </c>
      <c r="S84">
        <f>IFERROR(CHOOSE(MATCH($R$6,{"Ano Completo","1º Semestre","2º Semestre","1º Trimestre","2º Trimestre","3º Trimestre","4º Trimestre"},0),SUM(T84:AE84),SUM(T84:Y84),SUM(Z84:AE84),SUM(T84:V84),SUM(W84:Y84),SUM(Z84:AB84),SUM(AC84:AE84)),0)</f>
        <v/>
      </c>
      <c r="AG84" t="inlineStr">
        <is>
          <t>Comissões e Prêmios</t>
        </is>
      </c>
      <c r="AH84">
        <f>IFERROR(CHOOSE(MATCH($AG$6,{"Ano Completo","1º Semestre","2º Semestre","1º Trimestre","2º Trimestre","3º Trimestre","4º Trimestre"},0),SUM(AI84:AT84),SUM(AI84:AN84),SUM(AO84:AT84),SUM(AI84:AK84),SUM(AL84:AN84),SUM(AO84:AQ84),SUM(AR84:AT84)),0)</f>
        <v/>
      </c>
      <c r="AI84" t="n">
        <v>11128</v>
      </c>
      <c r="AJ84" t="n">
        <v>16564</v>
      </c>
      <c r="AK84" t="n">
        <v>7092</v>
      </c>
      <c r="AL84" t="n">
        <v>5602</v>
      </c>
      <c r="AM84" t="n">
        <v>11932</v>
      </c>
      <c r="AN84" t="n">
        <v>4905</v>
      </c>
      <c r="AO84" t="n">
        <v>2396</v>
      </c>
      <c r="AP84" t="n">
        <v>10276</v>
      </c>
      <c r="AQ84" t="n">
        <v>2620</v>
      </c>
      <c r="AR84" t="n">
        <v>2557</v>
      </c>
      <c r="AS84" t="n">
        <v>2442</v>
      </c>
      <c r="AT84" t="n">
        <v>2057</v>
      </c>
      <c r="AW84" t="inlineStr">
        <is>
          <t>Comissões e Prêmios</t>
        </is>
      </c>
      <c r="AX84">
        <f>IFERROR(CHOOSE(MATCH($AW$6,{"Ano Completo","1º Semestre","2º Semestre","1º Trimestre","2º Trimestre","3º Trimestre","4º Trimestre"},0),SUM(AY84:BJ84),SUM(AY84:BD84),SUM(BE84:BJ84),SUM(AY84:BA84),SUM(BB84:BD84),SUM(BE84:BG84),SUM(BH84:BJ84)),0)</f>
        <v/>
      </c>
      <c r="AY84" t="n">
        <v>19449</v>
      </c>
      <c r="AZ84" t="n">
        <v>10331</v>
      </c>
      <c r="BA84" t="n">
        <v>19916</v>
      </c>
      <c r="BB84" t="n">
        <v>14341</v>
      </c>
      <c r="BC84" t="n">
        <v>4462</v>
      </c>
      <c r="BD84" t="n">
        <v>10532</v>
      </c>
      <c r="BE84" t="n">
        <v>4473</v>
      </c>
      <c r="BF84" t="n">
        <v>18312</v>
      </c>
      <c r="BG84" t="n">
        <v>16992</v>
      </c>
      <c r="BH84" t="n">
        <v>18807</v>
      </c>
      <c r="BI84" t="n">
        <v>5447</v>
      </c>
      <c r="BJ84" t="n">
        <v>3994</v>
      </c>
      <c r="BL84" t="inlineStr">
        <is>
          <t>Comissões e Prêmios</t>
        </is>
      </c>
      <c r="BM84">
        <f>IFERROR(CHOOSE(MATCH($BL$6,{"Ano Completo","1º Semestre","2º Semestre","1º Trimestre","2º Trimestre","3º Trimestre","4º Trimestre"},0),SUM(BN84:BY84),SUM(BN84:BS84),SUM(BT84:BY84),SUM(BN84:BP84),SUM(BQ84:BS84),SUM(BT84:BV84),SUM(BW84:BY84)),0)</f>
        <v/>
      </c>
      <c r="BN84" t="n">
        <v>11128</v>
      </c>
      <c r="BO84" t="n">
        <v>16564</v>
      </c>
      <c r="BP84" t="n">
        <v>7092</v>
      </c>
      <c r="BQ84" t="n">
        <v>5602</v>
      </c>
      <c r="BR84" t="n">
        <v>11932</v>
      </c>
      <c r="BS84" t="n">
        <v>4905</v>
      </c>
      <c r="BT84" t="n">
        <v>2396</v>
      </c>
      <c r="BU84" t="n">
        <v>10276</v>
      </c>
      <c r="BV84" t="n">
        <v>2620</v>
      </c>
      <c r="BW84" t="n">
        <v>2557</v>
      </c>
      <c r="BX84" t="n">
        <v>2442</v>
      </c>
      <c r="BY84" t="n">
        <v>2057</v>
      </c>
      <c r="CB84" t="inlineStr">
        <is>
          <t>Comissões e Prêmios</t>
        </is>
      </c>
      <c r="CC84">
        <f>IFERROR(CHOOSE(MATCH($CB$6,{"Ano Completo","1º Semestre","2º Semestre","1º Trimestre","2º Trimestre","3º Trimestre","4º Trimestre"},0),SUM(CD84:CO84),SUM(CD84:CI84),SUM(CJ84:CO84),SUM(CD84:CF84),SUM(CG84:CI84),SUM(CJ84:CL84),SUM(CM84:CO84)),0)</f>
        <v/>
      </c>
      <c r="CD84" t="n">
        <v>19449</v>
      </c>
      <c r="CE84" t="n">
        <v>10331</v>
      </c>
      <c r="CF84" t="n">
        <v>19916</v>
      </c>
      <c r="CG84" t="n">
        <v>14341</v>
      </c>
      <c r="CH84" t="n">
        <v>4462</v>
      </c>
      <c r="CI84" t="n">
        <v>10532</v>
      </c>
      <c r="CJ84" t="n">
        <v>4473</v>
      </c>
      <c r="CK84" t="n">
        <v>18312</v>
      </c>
      <c r="CL84" t="n">
        <v>16992</v>
      </c>
      <c r="CM84" t="n">
        <v>18807</v>
      </c>
      <c r="CN84" t="n">
        <v>5447</v>
      </c>
      <c r="CO84" t="n">
        <v>3994</v>
      </c>
      <c r="CQ84" t="inlineStr">
        <is>
          <t>Comissões e Prêmios</t>
        </is>
      </c>
      <c r="CR84">
        <f>IFERROR(CHOOSE(MATCH($CQ$6,{"Ano Completo","1º Semestre","2º Semestre","1º Trimestre","2º Trimestre","3º Trimestre","4º Trimestre"},0),SUM(CS84:DD84),SUM(CS84:CX84),SUM(CY84:DD84),SUM(CS84:CU84),SUM(CV84:CX84),SUM(CY84:DA84),SUM(DB84:DD84)),0)</f>
        <v/>
      </c>
      <c r="CS84" t="n">
        <v>11128</v>
      </c>
      <c r="CT84" t="n">
        <v>16564</v>
      </c>
      <c r="CU84" t="n">
        <v>7092</v>
      </c>
      <c r="CV84" t="n">
        <v>5602</v>
      </c>
      <c r="CW84" t="n">
        <v>11932</v>
      </c>
      <c r="CX84" t="n">
        <v>4905</v>
      </c>
      <c r="CY84" t="n">
        <v>2396</v>
      </c>
      <c r="CZ84" t="n">
        <v>10276</v>
      </c>
      <c r="DA84" t="n">
        <v>2620</v>
      </c>
      <c r="DB84" t="n">
        <v>2557</v>
      </c>
      <c r="DC84" t="n">
        <v>2442</v>
      </c>
      <c r="DD84" t="n">
        <v>2057</v>
      </c>
      <c r="DG84" t="inlineStr">
        <is>
          <t>Comissões e Prêmios</t>
        </is>
      </c>
      <c r="DH84">
        <f>IFERROR(CHOOSE(MATCH($DG$6,{"Ano Completo","1º Semestre","2º Semestre","1º Trimestre","2º Trimestre","3º Trimestre","4º Trimestre"},0),SUM(DI84:DT84),SUM(DI84:DN84),SUM(DO84:DT84),SUM(DI84:DK84),SUM(DL84:DN84),SUM(DO84:DQ84),SUM(DR84:DT84)),0)</f>
        <v/>
      </c>
      <c r="DI84" t="n">
        <v>19449</v>
      </c>
      <c r="DJ84" t="n">
        <v>10331</v>
      </c>
      <c r="DK84" t="n">
        <v>19916</v>
      </c>
      <c r="DL84" t="n">
        <v>14341</v>
      </c>
      <c r="DM84" t="n">
        <v>4462</v>
      </c>
      <c r="DN84" t="n">
        <v>10532</v>
      </c>
      <c r="DO84" t="n">
        <v>4473</v>
      </c>
      <c r="DP84" t="n">
        <v>18312</v>
      </c>
      <c r="DQ84" t="n">
        <v>16992</v>
      </c>
      <c r="DR84" t="n">
        <v>18807</v>
      </c>
      <c r="DS84" t="n">
        <v>5447</v>
      </c>
      <c r="DT84" t="n">
        <v>3994</v>
      </c>
      <c r="DV84" t="inlineStr">
        <is>
          <t>Comissões e Prêmios</t>
        </is>
      </c>
      <c r="DW84">
        <f>IFERROR(CHOOSE(MATCH($DV$6,{"Ano Completo","1º Semestre","2º Semestre","1º Trimestre","2º Trimestre","3º Trimestre","4º Trimestre"},0),SUM(DX84:EI84),SUM(DX84:EC84),SUM(ED84:EI84),SUM(DX84:DZ84),SUM(EA84:EC84),SUM(ED84:EF84),SUM(EG84:EI84)),0)</f>
        <v/>
      </c>
      <c r="DX84" t="n">
        <v>11128</v>
      </c>
      <c r="DY84" t="n">
        <v>16564</v>
      </c>
      <c r="DZ84" t="n">
        <v>7092</v>
      </c>
      <c r="EA84" t="n">
        <v>5602</v>
      </c>
      <c r="EB84" t="n">
        <v>11932</v>
      </c>
      <c r="EC84" t="n">
        <v>4905</v>
      </c>
      <c r="ED84" t="n">
        <v>2396</v>
      </c>
      <c r="EE84" t="n">
        <v>10276</v>
      </c>
      <c r="EF84" t="n">
        <v>2620</v>
      </c>
      <c r="EG84" t="n">
        <v>2557</v>
      </c>
      <c r="EH84" t="n">
        <v>2442</v>
      </c>
      <c r="EI84" t="n">
        <v>2057</v>
      </c>
      <c r="EL84" t="inlineStr">
        <is>
          <t>Comissões e Prêmios</t>
        </is>
      </c>
      <c r="EM84">
        <f>IFERROR(CHOOSE(MATCH($EL$6,{"Ano Completo","1º Semestre","2º Semestre","1º Trimestre","2º Trimestre","3º Trimestre","4º Trimestre"},0),SUM(EN84:EY84),SUM(EN84:ES84),SUM(ET84:EY84),SUM(EN84:EP84),SUM(EQ84:ES84),SUM(ET84:EV84),SUM(EW84:EY84)),0)</f>
        <v/>
      </c>
      <c r="EN84" t="n">
        <v>19449</v>
      </c>
      <c r="EO84" t="n">
        <v>10331</v>
      </c>
      <c r="EP84" t="n">
        <v>19916</v>
      </c>
      <c r="EQ84" t="n">
        <v>14341</v>
      </c>
      <c r="ER84" t="n">
        <v>4462</v>
      </c>
      <c r="ES84" t="n">
        <v>10532</v>
      </c>
      <c r="ET84" t="n">
        <v>4473</v>
      </c>
      <c r="EU84" t="n">
        <v>18312</v>
      </c>
      <c r="EV84" t="n">
        <v>16992</v>
      </c>
      <c r="EW84" t="n">
        <v>18807</v>
      </c>
      <c r="EX84" t="n">
        <v>5447</v>
      </c>
      <c r="EY84" t="n">
        <v>3994</v>
      </c>
    </row>
    <row r="85">
      <c r="B85" t="inlineStr">
        <is>
          <t>Honorários administrativos</t>
        </is>
      </c>
      <c r="C85">
        <f>IFERROR(CHOOSE(MATCH($B$6,{"Ano Completo","1º Semestre","2º Semestre","1º Trimestre","2º Trimestre","3º Trimestre","4º Trimestre"},0),SUM(D85:O85),SUM(D85:I85),SUM(J85:O85),SUM(D85:F85),SUM(G85:I85),SUM(J85:L85),SUM(M85:O85)),0)</f>
        <v/>
      </c>
      <c r="R85" t="inlineStr">
        <is>
          <t>Honorários administrativos</t>
        </is>
      </c>
      <c r="S85">
        <f>IFERROR(CHOOSE(MATCH($R$6,{"Ano Completo","1º Semestre","2º Semestre","1º Trimestre","2º Trimestre","3º Trimestre","4º Trimestre"},0),SUM(T85:AE85),SUM(T85:Y85),SUM(Z85:AE85),SUM(T85:V85),SUM(W85:Y85),SUM(Z85:AB85),SUM(AC85:AE85)),0)</f>
        <v/>
      </c>
      <c r="AG85" t="inlineStr">
        <is>
          <t>Honorários administrativos</t>
        </is>
      </c>
      <c r="AH85">
        <f>IFERROR(CHOOSE(MATCH($AG$6,{"Ano Completo","1º Semestre","2º Semestre","1º Trimestre","2º Trimestre","3º Trimestre","4º Trimestre"},0),SUM(AI85:AT85),SUM(AI85:AN85),SUM(AO85:AT85),SUM(AI85:AK85),SUM(AL85:AN85),SUM(AO85:AQ85),SUM(AR85:AT85)),0)</f>
        <v/>
      </c>
      <c r="AI85" t="n">
        <v>5040</v>
      </c>
      <c r="AJ85" t="n">
        <v>11423</v>
      </c>
      <c r="AK85" t="n">
        <v>17230</v>
      </c>
      <c r="AL85" t="n">
        <v>11788</v>
      </c>
      <c r="AM85" t="n">
        <v>5747</v>
      </c>
      <c r="AN85" t="n">
        <v>6506</v>
      </c>
      <c r="AO85" t="n">
        <v>3950</v>
      </c>
      <c r="AP85" t="n">
        <v>1650</v>
      </c>
      <c r="AQ85" t="n">
        <v>2348</v>
      </c>
      <c r="AR85" t="n">
        <v>4233</v>
      </c>
      <c r="AS85" t="n">
        <v>18227</v>
      </c>
      <c r="AT85" t="n">
        <v>6597</v>
      </c>
      <c r="AW85" t="inlineStr">
        <is>
          <t>Honorários administrativos</t>
        </is>
      </c>
      <c r="AX85">
        <f>IFERROR(CHOOSE(MATCH($AW$6,{"Ano Completo","1º Semestre","2º Semestre","1º Trimestre","2º Trimestre","3º Trimestre","4º Trimestre"},0),SUM(AY85:BJ85),SUM(AY85:BD85),SUM(BE85:BJ85),SUM(AY85:BA85),SUM(BB85:BD85),SUM(BE85:BG85),SUM(BH85:BJ85)),0)</f>
        <v/>
      </c>
      <c r="AY85" t="n">
        <v>3887</v>
      </c>
      <c r="AZ85" t="n">
        <v>6685</v>
      </c>
      <c r="BA85" t="n">
        <v>10513</v>
      </c>
      <c r="BB85" t="n">
        <v>2261</v>
      </c>
      <c r="BC85" t="n">
        <v>8350</v>
      </c>
      <c r="BD85" t="n">
        <v>11560</v>
      </c>
      <c r="BE85" t="n">
        <v>15523</v>
      </c>
      <c r="BF85" t="n">
        <v>16141</v>
      </c>
      <c r="BG85" t="n">
        <v>12588</v>
      </c>
      <c r="BH85" t="n">
        <v>11203</v>
      </c>
      <c r="BI85" t="n">
        <v>9106</v>
      </c>
      <c r="BJ85" t="n">
        <v>1885</v>
      </c>
      <c r="BL85" t="inlineStr">
        <is>
          <t>Honorários administrativos</t>
        </is>
      </c>
      <c r="BM85">
        <f>IFERROR(CHOOSE(MATCH($BL$6,{"Ano Completo","1º Semestre","2º Semestre","1º Trimestre","2º Trimestre","3º Trimestre","4º Trimestre"},0),SUM(BN85:BY85),SUM(BN85:BS85),SUM(BT85:BY85),SUM(BN85:BP85),SUM(BQ85:BS85),SUM(BT85:BV85),SUM(BW85:BY85)),0)</f>
        <v/>
      </c>
      <c r="BN85" t="n">
        <v>5040</v>
      </c>
      <c r="BO85" t="n">
        <v>11423</v>
      </c>
      <c r="BP85" t="n">
        <v>17230</v>
      </c>
      <c r="BQ85" t="n">
        <v>11788</v>
      </c>
      <c r="BR85" t="n">
        <v>5747</v>
      </c>
      <c r="BS85" t="n">
        <v>6506</v>
      </c>
      <c r="BT85" t="n">
        <v>3950</v>
      </c>
      <c r="BU85" t="n">
        <v>1650</v>
      </c>
      <c r="BV85" t="n">
        <v>2348</v>
      </c>
      <c r="BW85" t="n">
        <v>4233</v>
      </c>
      <c r="BX85" t="n">
        <v>18227</v>
      </c>
      <c r="BY85" t="n">
        <v>6597</v>
      </c>
      <c r="CB85" t="inlineStr">
        <is>
          <t>Honorários administrativos</t>
        </is>
      </c>
      <c r="CC85">
        <f>IFERROR(CHOOSE(MATCH($CB$6,{"Ano Completo","1º Semestre","2º Semestre","1º Trimestre","2º Trimestre","3º Trimestre","4º Trimestre"},0),SUM(CD85:CO85),SUM(CD85:CI85),SUM(CJ85:CO85),SUM(CD85:CF85),SUM(CG85:CI85),SUM(CJ85:CL85),SUM(CM85:CO85)),0)</f>
        <v/>
      </c>
      <c r="CD85" t="n">
        <v>3887</v>
      </c>
      <c r="CE85" t="n">
        <v>6685</v>
      </c>
      <c r="CF85" t="n">
        <v>10513</v>
      </c>
      <c r="CG85" t="n">
        <v>2261</v>
      </c>
      <c r="CH85" t="n">
        <v>8350</v>
      </c>
      <c r="CI85" t="n">
        <v>11560</v>
      </c>
      <c r="CJ85" t="n">
        <v>15523</v>
      </c>
      <c r="CK85" t="n">
        <v>16141</v>
      </c>
      <c r="CL85" t="n">
        <v>12588</v>
      </c>
      <c r="CM85" t="n">
        <v>11203</v>
      </c>
      <c r="CN85" t="n">
        <v>9106</v>
      </c>
      <c r="CO85" t="n">
        <v>1885</v>
      </c>
      <c r="CQ85" t="inlineStr">
        <is>
          <t>Honorários administrativos</t>
        </is>
      </c>
      <c r="CR85">
        <f>IFERROR(CHOOSE(MATCH($CQ$6,{"Ano Completo","1º Semestre","2º Semestre","1º Trimestre","2º Trimestre","3º Trimestre","4º Trimestre"},0),SUM(CS85:DD85),SUM(CS85:CX85),SUM(CY85:DD85),SUM(CS85:CU85),SUM(CV85:CX85),SUM(CY85:DA85),SUM(DB85:DD85)),0)</f>
        <v/>
      </c>
      <c r="CS85" t="n">
        <v>5040</v>
      </c>
      <c r="CT85" t="n">
        <v>11423</v>
      </c>
      <c r="CU85" t="n">
        <v>17230</v>
      </c>
      <c r="CV85" t="n">
        <v>11788</v>
      </c>
      <c r="CW85" t="n">
        <v>5747</v>
      </c>
      <c r="CX85" t="n">
        <v>6506</v>
      </c>
      <c r="CY85" t="n">
        <v>3950</v>
      </c>
      <c r="CZ85" t="n">
        <v>1650</v>
      </c>
      <c r="DA85" t="n">
        <v>2348</v>
      </c>
      <c r="DB85" t="n">
        <v>4233</v>
      </c>
      <c r="DC85" t="n">
        <v>18227</v>
      </c>
      <c r="DD85" t="n">
        <v>6597</v>
      </c>
      <c r="DG85" t="inlineStr">
        <is>
          <t>Honorários administrativos</t>
        </is>
      </c>
      <c r="DH85">
        <f>IFERROR(CHOOSE(MATCH($DG$6,{"Ano Completo","1º Semestre","2º Semestre","1º Trimestre","2º Trimestre","3º Trimestre","4º Trimestre"},0),SUM(DI85:DT85),SUM(DI85:DN85),SUM(DO85:DT85),SUM(DI85:DK85),SUM(DL85:DN85),SUM(DO85:DQ85),SUM(DR85:DT85)),0)</f>
        <v/>
      </c>
      <c r="DI85" t="n">
        <v>3887</v>
      </c>
      <c r="DJ85" t="n">
        <v>6685</v>
      </c>
      <c r="DK85" t="n">
        <v>10513</v>
      </c>
      <c r="DL85" t="n">
        <v>2261</v>
      </c>
      <c r="DM85" t="n">
        <v>8350</v>
      </c>
      <c r="DN85" t="n">
        <v>11560</v>
      </c>
      <c r="DO85" t="n">
        <v>15523</v>
      </c>
      <c r="DP85" t="n">
        <v>16141</v>
      </c>
      <c r="DQ85" t="n">
        <v>12588</v>
      </c>
      <c r="DR85" t="n">
        <v>11203</v>
      </c>
      <c r="DS85" t="n">
        <v>9106</v>
      </c>
      <c r="DT85" t="n">
        <v>1885</v>
      </c>
      <c r="DV85" t="inlineStr">
        <is>
          <t>Honorários administrativos</t>
        </is>
      </c>
      <c r="DW85">
        <f>IFERROR(CHOOSE(MATCH($DV$6,{"Ano Completo","1º Semestre","2º Semestre","1º Trimestre","2º Trimestre","3º Trimestre","4º Trimestre"},0),SUM(DX85:EI85),SUM(DX85:EC85),SUM(ED85:EI85),SUM(DX85:DZ85),SUM(EA85:EC85),SUM(ED85:EF85),SUM(EG85:EI85)),0)</f>
        <v/>
      </c>
      <c r="DX85" t="n">
        <v>5040</v>
      </c>
      <c r="DY85" t="n">
        <v>11423</v>
      </c>
      <c r="DZ85" t="n">
        <v>17230</v>
      </c>
      <c r="EA85" t="n">
        <v>11788</v>
      </c>
      <c r="EB85" t="n">
        <v>5747</v>
      </c>
      <c r="EC85" t="n">
        <v>6506</v>
      </c>
      <c r="ED85" t="n">
        <v>3950</v>
      </c>
      <c r="EE85" t="n">
        <v>1650</v>
      </c>
      <c r="EF85" t="n">
        <v>2348</v>
      </c>
      <c r="EG85" t="n">
        <v>4233</v>
      </c>
      <c r="EH85" t="n">
        <v>18227</v>
      </c>
      <c r="EI85" t="n">
        <v>6597</v>
      </c>
      <c r="EL85" t="inlineStr">
        <is>
          <t>Honorários administrativos</t>
        </is>
      </c>
      <c r="EM85">
        <f>IFERROR(CHOOSE(MATCH($EL$6,{"Ano Completo","1º Semestre","2º Semestre","1º Trimestre","2º Trimestre","3º Trimestre","4º Trimestre"},0),SUM(EN85:EY85),SUM(EN85:ES85),SUM(ET85:EY85),SUM(EN85:EP85),SUM(EQ85:ES85),SUM(ET85:EV85),SUM(EW85:EY85)),0)</f>
        <v/>
      </c>
      <c r="EN85" t="n">
        <v>3887</v>
      </c>
      <c r="EO85" t="n">
        <v>6685</v>
      </c>
      <c r="EP85" t="n">
        <v>10513</v>
      </c>
      <c r="EQ85" t="n">
        <v>2261</v>
      </c>
      <c r="ER85" t="n">
        <v>8350</v>
      </c>
      <c r="ES85" t="n">
        <v>11560</v>
      </c>
      <c r="ET85" t="n">
        <v>15523</v>
      </c>
      <c r="EU85" t="n">
        <v>16141</v>
      </c>
      <c r="EV85" t="n">
        <v>12588</v>
      </c>
      <c r="EW85" t="n">
        <v>11203</v>
      </c>
      <c r="EX85" t="n">
        <v>9106</v>
      </c>
      <c r="EY85" t="n">
        <v>1885</v>
      </c>
    </row>
    <row r="86">
      <c r="B86" t="inlineStr">
        <is>
          <t>Associação dos Advogados (Custo de Manutenção da OAB)</t>
        </is>
      </c>
      <c r="C86">
        <f>IFERROR(CHOOSE(MATCH($B$6,{"Ano Completo","1º Semestre","2º Semestre","1º Trimestre","2º Trimestre","3º Trimestre","4º Trimestre"},0),SUM(D86:O86),SUM(D86:I86),SUM(J86:O86),SUM(D86:F86),SUM(G86:I86),SUM(J86:L86),SUM(M86:O86)),0)</f>
        <v/>
      </c>
      <c r="R86" t="inlineStr">
        <is>
          <t>Associação dos Advogados (Custo de Manutenção da OAB)</t>
        </is>
      </c>
      <c r="S86">
        <f>IFERROR(CHOOSE(MATCH($R$6,{"Ano Completo","1º Semestre","2º Semestre","1º Trimestre","2º Trimestre","3º Trimestre","4º Trimestre"},0),SUM(T86:AE86),SUM(T86:Y86),SUM(Z86:AE86),SUM(T86:V86),SUM(W86:Y86),SUM(Z86:AB86),SUM(AC86:AE86)),0)</f>
        <v/>
      </c>
      <c r="AG86" t="inlineStr">
        <is>
          <t>Associação dos Advogados (Custo de Manutenção da OAB)</t>
        </is>
      </c>
      <c r="AH86">
        <f>IFERROR(CHOOSE(MATCH($AG$6,{"Ano Completo","1º Semestre","2º Semestre","1º Trimestre","2º Trimestre","3º Trimestre","4º Trimestre"},0),SUM(AI86:AT86),SUM(AI86:AN86),SUM(AO86:AT86),SUM(AI86:AK86),SUM(AL86:AN86),SUM(AO86:AQ86),SUM(AR86:AT86)),0)</f>
        <v/>
      </c>
      <c r="AI86" t="n">
        <v>3077</v>
      </c>
      <c r="AJ86" t="n">
        <v>8414</v>
      </c>
      <c r="AK86" t="n">
        <v>11855</v>
      </c>
      <c r="AL86" t="n">
        <v>9137</v>
      </c>
      <c r="AM86" t="n">
        <v>1680</v>
      </c>
      <c r="AN86" t="n">
        <v>9068</v>
      </c>
      <c r="AO86" t="n">
        <v>19122</v>
      </c>
      <c r="AP86" t="n">
        <v>18664</v>
      </c>
      <c r="AQ86" t="n">
        <v>2630</v>
      </c>
      <c r="AR86" t="n">
        <v>11794</v>
      </c>
      <c r="AS86" t="n">
        <v>5667</v>
      </c>
      <c r="AT86" t="n">
        <v>14053</v>
      </c>
      <c r="AW86" t="inlineStr">
        <is>
          <t>Associação dos Advogados (Custo de Manutenção da OAB)</t>
        </is>
      </c>
      <c r="AX86">
        <f>IFERROR(CHOOSE(MATCH($AW$6,{"Ano Completo","1º Semestre","2º Semestre","1º Trimestre","2º Trimestre","3º Trimestre","4º Trimestre"},0),SUM(AY86:BJ86),SUM(AY86:BD86),SUM(BE86:BJ86),SUM(AY86:BA86),SUM(BB86:BD86),SUM(BE86:BG86),SUM(BH86:BJ86)),0)</f>
        <v/>
      </c>
      <c r="AY86" t="n">
        <v>9634</v>
      </c>
      <c r="AZ86" t="n">
        <v>8917</v>
      </c>
      <c r="BA86" t="n">
        <v>15402</v>
      </c>
      <c r="BB86" t="n">
        <v>14910</v>
      </c>
      <c r="BC86" t="n">
        <v>15737</v>
      </c>
      <c r="BD86" t="n">
        <v>8414</v>
      </c>
      <c r="BE86" t="n">
        <v>2208</v>
      </c>
      <c r="BF86" t="n">
        <v>6872</v>
      </c>
      <c r="BG86" t="n">
        <v>12316</v>
      </c>
      <c r="BH86" t="n">
        <v>10004</v>
      </c>
      <c r="BI86" t="n">
        <v>18210</v>
      </c>
      <c r="BJ86" t="n">
        <v>11908</v>
      </c>
      <c r="BL86" t="inlineStr">
        <is>
          <t>Associação dos Advogados (Custo de Manutenção da OAB)</t>
        </is>
      </c>
      <c r="BM86">
        <f>IFERROR(CHOOSE(MATCH($BL$6,{"Ano Completo","1º Semestre","2º Semestre","1º Trimestre","2º Trimestre","3º Trimestre","4º Trimestre"},0),SUM(BN86:BY86),SUM(BN86:BS86),SUM(BT86:BY86),SUM(BN86:BP86),SUM(BQ86:BS86),SUM(BT86:BV86),SUM(BW86:BY86)),0)</f>
        <v/>
      </c>
      <c r="BN86" t="n">
        <v>3077</v>
      </c>
      <c r="BO86" t="n">
        <v>8414</v>
      </c>
      <c r="BP86" t="n">
        <v>11855</v>
      </c>
      <c r="BQ86" t="n">
        <v>9137</v>
      </c>
      <c r="BR86" t="n">
        <v>1680</v>
      </c>
      <c r="BS86" t="n">
        <v>9068</v>
      </c>
      <c r="BT86" t="n">
        <v>19122</v>
      </c>
      <c r="BU86" t="n">
        <v>18664</v>
      </c>
      <c r="BV86" t="n">
        <v>2630</v>
      </c>
      <c r="BW86" t="n">
        <v>11794</v>
      </c>
      <c r="BX86" t="n">
        <v>5667</v>
      </c>
      <c r="BY86" t="n">
        <v>14053</v>
      </c>
      <c r="CB86" t="inlineStr">
        <is>
          <t>Associação dos Advogados (Custo de Manutenção da OAB)</t>
        </is>
      </c>
      <c r="CC86">
        <f>IFERROR(CHOOSE(MATCH($CB$6,{"Ano Completo","1º Semestre","2º Semestre","1º Trimestre","2º Trimestre","3º Trimestre","4º Trimestre"},0),SUM(CD86:CO86),SUM(CD86:CI86),SUM(CJ86:CO86),SUM(CD86:CF86),SUM(CG86:CI86),SUM(CJ86:CL86),SUM(CM86:CO86)),0)</f>
        <v/>
      </c>
      <c r="CD86" t="n">
        <v>9634</v>
      </c>
      <c r="CE86" t="n">
        <v>8917</v>
      </c>
      <c r="CF86" t="n">
        <v>15402</v>
      </c>
      <c r="CG86" t="n">
        <v>14910</v>
      </c>
      <c r="CH86" t="n">
        <v>15737</v>
      </c>
      <c r="CI86" t="n">
        <v>8414</v>
      </c>
      <c r="CJ86" t="n">
        <v>2208</v>
      </c>
      <c r="CK86" t="n">
        <v>6872</v>
      </c>
      <c r="CL86" t="n">
        <v>12316</v>
      </c>
      <c r="CM86" t="n">
        <v>10004</v>
      </c>
      <c r="CN86" t="n">
        <v>18210</v>
      </c>
      <c r="CO86" t="n">
        <v>11908</v>
      </c>
      <c r="CQ86" t="inlineStr">
        <is>
          <t>Associação dos Advogados (Custo de Manutenção da OAB)</t>
        </is>
      </c>
      <c r="CR86">
        <f>IFERROR(CHOOSE(MATCH($CQ$6,{"Ano Completo","1º Semestre","2º Semestre","1º Trimestre","2º Trimestre","3º Trimestre","4º Trimestre"},0),SUM(CS86:DD86),SUM(CS86:CX86),SUM(CY86:DD86),SUM(CS86:CU86),SUM(CV86:CX86),SUM(CY86:DA86),SUM(DB86:DD86)),0)</f>
        <v/>
      </c>
      <c r="CS86" t="n">
        <v>3077</v>
      </c>
      <c r="CT86" t="n">
        <v>8414</v>
      </c>
      <c r="CU86" t="n">
        <v>11855</v>
      </c>
      <c r="CV86" t="n">
        <v>9137</v>
      </c>
      <c r="CW86" t="n">
        <v>1680</v>
      </c>
      <c r="CX86" t="n">
        <v>9068</v>
      </c>
      <c r="CY86" t="n">
        <v>19122</v>
      </c>
      <c r="CZ86" t="n">
        <v>18664</v>
      </c>
      <c r="DA86" t="n">
        <v>2630</v>
      </c>
      <c r="DB86" t="n">
        <v>11794</v>
      </c>
      <c r="DC86" t="n">
        <v>5667</v>
      </c>
      <c r="DD86" t="n">
        <v>14053</v>
      </c>
      <c r="DG86" t="inlineStr">
        <is>
          <t>Associação dos Advogados (Custo de Manutenção da OAB)</t>
        </is>
      </c>
      <c r="DH86">
        <f>IFERROR(CHOOSE(MATCH($DG$6,{"Ano Completo","1º Semestre","2º Semestre","1º Trimestre","2º Trimestre","3º Trimestre","4º Trimestre"},0),SUM(DI86:DT86),SUM(DI86:DN86),SUM(DO86:DT86),SUM(DI86:DK86),SUM(DL86:DN86),SUM(DO86:DQ86),SUM(DR86:DT86)),0)</f>
        <v/>
      </c>
      <c r="DI86" t="n">
        <v>9634</v>
      </c>
      <c r="DJ86" t="n">
        <v>8917</v>
      </c>
      <c r="DK86" t="n">
        <v>15402</v>
      </c>
      <c r="DL86" t="n">
        <v>14910</v>
      </c>
      <c r="DM86" t="n">
        <v>15737</v>
      </c>
      <c r="DN86" t="n">
        <v>8414</v>
      </c>
      <c r="DO86" t="n">
        <v>2208</v>
      </c>
      <c r="DP86" t="n">
        <v>6872</v>
      </c>
      <c r="DQ86" t="n">
        <v>12316</v>
      </c>
      <c r="DR86" t="n">
        <v>10004</v>
      </c>
      <c r="DS86" t="n">
        <v>18210</v>
      </c>
      <c r="DT86" t="n">
        <v>11908</v>
      </c>
      <c r="DV86" t="inlineStr">
        <is>
          <t>Associação dos Advogados (Custo de Manutenção da OAB)</t>
        </is>
      </c>
      <c r="DW86">
        <f>IFERROR(CHOOSE(MATCH($DV$6,{"Ano Completo","1º Semestre","2º Semestre","1º Trimestre","2º Trimestre","3º Trimestre","4º Trimestre"},0),SUM(DX86:EI86),SUM(DX86:EC86),SUM(ED86:EI86),SUM(DX86:DZ86),SUM(EA86:EC86),SUM(ED86:EF86),SUM(EG86:EI86)),0)</f>
        <v/>
      </c>
      <c r="DX86" t="n">
        <v>3077</v>
      </c>
      <c r="DY86" t="n">
        <v>8414</v>
      </c>
      <c r="DZ86" t="n">
        <v>11855</v>
      </c>
      <c r="EA86" t="n">
        <v>9137</v>
      </c>
      <c r="EB86" t="n">
        <v>1680</v>
      </c>
      <c r="EC86" t="n">
        <v>9068</v>
      </c>
      <c r="ED86" t="n">
        <v>19122</v>
      </c>
      <c r="EE86" t="n">
        <v>18664</v>
      </c>
      <c r="EF86" t="n">
        <v>2630</v>
      </c>
      <c r="EG86" t="n">
        <v>11794</v>
      </c>
      <c r="EH86" t="n">
        <v>5667</v>
      </c>
      <c r="EI86" t="n">
        <v>14053</v>
      </c>
      <c r="EL86" t="inlineStr">
        <is>
          <t>Associação dos Advogados (Custo de Manutenção da OAB)</t>
        </is>
      </c>
      <c r="EM86">
        <f>IFERROR(CHOOSE(MATCH($EL$6,{"Ano Completo","1º Semestre","2º Semestre","1º Trimestre","2º Trimestre","3º Trimestre","4º Trimestre"},0),SUM(EN86:EY86),SUM(EN86:ES86),SUM(ET86:EY86),SUM(EN86:EP86),SUM(EQ86:ES86),SUM(ET86:EV86),SUM(EW86:EY86)),0)</f>
        <v/>
      </c>
      <c r="EN86" t="n">
        <v>9634</v>
      </c>
      <c r="EO86" t="n">
        <v>8917</v>
      </c>
      <c r="EP86" t="n">
        <v>15402</v>
      </c>
      <c r="EQ86" t="n">
        <v>14910</v>
      </c>
      <c r="ER86" t="n">
        <v>15737</v>
      </c>
      <c r="ES86" t="n">
        <v>8414</v>
      </c>
      <c r="ET86" t="n">
        <v>2208</v>
      </c>
      <c r="EU86" t="n">
        <v>6872</v>
      </c>
      <c r="EV86" t="n">
        <v>12316</v>
      </c>
      <c r="EW86" t="n">
        <v>10004</v>
      </c>
      <c r="EX86" t="n">
        <v>18210</v>
      </c>
      <c r="EY86" t="n">
        <v>11908</v>
      </c>
    </row>
    <row r="87">
      <c r="B87" t="inlineStr">
        <is>
          <t>Demais Despesas Pessoas</t>
        </is>
      </c>
      <c r="C87">
        <f>IFERROR(CHOOSE(MATCH($B$6,{"Ano Completo","1º Semestre","2º Semestre","1º Trimestre","2º Trimestre","3º Trimestre","4º Trimestre"},0),SUM(D87:O87),SUM(D87:I87),SUM(J87:O87),SUM(D87:F87),SUM(G87:I87),SUM(J87:L87),SUM(M87:O87)),0)</f>
        <v/>
      </c>
      <c r="R87" t="inlineStr">
        <is>
          <t>Demais Despesas Pessoas</t>
        </is>
      </c>
      <c r="S87">
        <f>IFERROR(CHOOSE(MATCH($R$6,{"Ano Completo","1º Semestre","2º Semestre","1º Trimestre","2º Trimestre","3º Trimestre","4º Trimestre"},0),SUM(T87:AE87),SUM(T87:Y87),SUM(Z87:AE87),SUM(T87:V87),SUM(W87:Y87),SUM(Z87:AB87),SUM(AC87:AE87)),0)</f>
        <v/>
      </c>
      <c r="AG87" t="inlineStr">
        <is>
          <t>Demais Despesas Pessoas</t>
        </is>
      </c>
      <c r="AH87">
        <f>IFERROR(CHOOSE(MATCH($AG$6,{"Ano Completo","1º Semestre","2º Semestre","1º Trimestre","2º Trimestre","3º Trimestre","4º Trimestre"},0),SUM(AI87:AT87),SUM(AI87:AN87),SUM(AO87:AT87),SUM(AI87:AK87),SUM(AL87:AN87),SUM(AO87:AQ87),SUM(AR87:AT87)),0)</f>
        <v/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W87" t="inlineStr">
        <is>
          <t>Demais Despesas Pessoas</t>
        </is>
      </c>
      <c r="AX87">
        <f>IFERROR(CHOOSE(MATCH($AW$6,{"Ano Completo","1º Semestre","2º Semestre","1º Trimestre","2º Trimestre","3º Trimestre","4º Trimestre"},0),SUM(AY87:BJ87),SUM(AY87:BD87),SUM(BE87:BJ87),SUM(AY87:BA87),SUM(BB87:BD87),SUM(BE87:BG87),SUM(BH87:BJ87)),0)</f>
        <v/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L87" t="inlineStr">
        <is>
          <t>Demais Despesas Pessoas</t>
        </is>
      </c>
      <c r="BM87">
        <f>IFERROR(CHOOSE(MATCH($BL$6,{"Ano Completo","1º Semestre","2º Semestre","1º Trimestre","2º Trimestre","3º Trimestre","4º Trimestre"},0),SUM(BN87:BY87),SUM(BN87:BS87),SUM(BT87:BY87),SUM(BN87:BP87),SUM(BQ87:BS87),SUM(BT87:BV87),SUM(BW87:BY87)),0)</f>
        <v/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CB87" t="inlineStr">
        <is>
          <t>Demais Despesas Pessoas</t>
        </is>
      </c>
      <c r="CC87">
        <f>IFERROR(CHOOSE(MATCH($CB$6,{"Ano Completo","1º Semestre","2º Semestre","1º Trimestre","2º Trimestre","3º Trimestre","4º Trimestre"},0),SUM(CD87:CO87),SUM(CD87:CI87),SUM(CJ87:CO87),SUM(CD87:CF87),SUM(CG87:CI87),SUM(CJ87:CL87),SUM(CM87:CO87)),0)</f>
        <v/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Q87" t="inlineStr">
        <is>
          <t>Demais Despesas Pessoas</t>
        </is>
      </c>
      <c r="CR87">
        <f>IFERROR(CHOOSE(MATCH($CQ$6,{"Ano Completo","1º Semestre","2º Semestre","1º Trimestre","2º Trimestre","3º Trimestre","4º Trimestre"},0),SUM(CS87:DD87),SUM(CS87:CX87),SUM(CY87:DD87),SUM(CS87:CU87),SUM(CV87:CX87),SUM(CY87:DA87),SUM(DB87:DD87)),0)</f>
        <v/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G87" t="inlineStr">
        <is>
          <t>Demais Despesas Pessoas</t>
        </is>
      </c>
      <c r="DH87">
        <f>IFERROR(CHOOSE(MATCH($DG$6,{"Ano Completo","1º Semestre","2º Semestre","1º Trimestre","2º Trimestre","3º Trimestre","4º Trimestre"},0),SUM(DI87:DT87),SUM(DI87:DN87),SUM(DO87:DT87),SUM(DI87:DK87),SUM(DL87:DN87),SUM(DO87:DQ87),SUM(DR87:DT87)),0)</f>
        <v/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V87" t="inlineStr">
        <is>
          <t>Demais Despesas Pessoas</t>
        </is>
      </c>
      <c r="DW87">
        <f>IFERROR(CHOOSE(MATCH($DV$6,{"Ano Completo","1º Semestre","2º Semestre","1º Trimestre","2º Trimestre","3º Trimestre","4º Trimestre"},0),SUM(DX87:EI87),SUM(DX87:EC87),SUM(ED87:EI87),SUM(DX87:DZ87),SUM(EA87:EC87),SUM(ED87:EF87),SUM(EG87:EI87)),0)</f>
        <v/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L87" t="inlineStr">
        <is>
          <t>Demais Despesas Pessoas</t>
        </is>
      </c>
      <c r="EM87">
        <f>IFERROR(CHOOSE(MATCH($EL$6,{"Ano Completo","1º Semestre","2º Semestre","1º Trimestre","2º Trimestre","3º Trimestre","4º Trimestre"},0),SUM(EN87:EY87),SUM(EN87:ES87),SUM(ET87:EY87),SUM(EN87:EP87),SUM(EQ87:ES87),SUM(ET87:EV87),SUM(EW87:EY87)),0)</f>
        <v/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</row>
    <row r="88">
      <c r="C88">
        <f>SUM(D88:O88)</f>
        <v/>
      </c>
      <c r="S88">
        <f>SUM(T88:AE88)</f>
        <v/>
      </c>
      <c r="AH88">
        <f>SUM(AI88:AT88)</f>
        <v/>
      </c>
      <c r="AX88">
        <f>SUM(AY88:BJ88)</f>
        <v/>
      </c>
      <c r="BM88">
        <f>SUM(BN88:BY88)</f>
        <v/>
      </c>
      <c r="CC88">
        <f>SUM(CD88:CO88)</f>
        <v/>
      </c>
      <c r="CR88">
        <f>SUM(CS88:DD88)</f>
        <v/>
      </c>
      <c r="DH88">
        <f>SUM(DI88:DT88)</f>
        <v/>
      </c>
      <c r="DW88">
        <f>SUM(DX88:EI88)</f>
        <v/>
      </c>
      <c r="EM88">
        <f>SUM(EN88:EY88)</f>
        <v/>
      </c>
    </row>
    <row r="89">
      <c r="B89" t="inlineStr">
        <is>
          <t>Salário médio mensal</t>
        </is>
      </c>
      <c r="C89">
        <f>IFERROR(CHOOSE(MATCH($B$6,{"Ano Completo","1º Semestre","2º Semestre","1º Trimestre","2º Trimestre","3º Trimestre","4º Trimestre"},0),SUM(D89:O89),SUM(D89:I89),SUM(J89:O89),SUM(D89:F89),SUM(G89:I89),SUM(J89:L89),SUM(M89:O89)),0)</f>
        <v/>
      </c>
      <c r="R89" t="inlineStr">
        <is>
          <t>Salário médio mensal</t>
        </is>
      </c>
      <c r="S89">
        <f>IFERROR(CHOOSE(MATCH($R$6,{"Ano Completo","1º Semestre","2º Semestre","1º Trimestre","2º Trimestre","3º Trimestre","4º Trimestre"},0),SUM(T89:AE89),SUM(T89:Y89),SUM(Z89:AE89),SUM(T89:V89),SUM(W89:Y89),SUM(Z89:AB89),SUM(AC89:AE89)),0)</f>
        <v/>
      </c>
      <c r="AG89" t="inlineStr">
        <is>
          <t>Salário médio mensal</t>
        </is>
      </c>
      <c r="AH89">
        <f>IFERROR(CHOOSE(MATCH($AG$6,{"Ano Completo","1º Semestre","2º Semestre","1º Trimestre","2º Trimestre","3º Trimestre","4º Trimestre"},0),SUM(AI89:AT89),SUM(AI89:AN89),SUM(AO89:AT89),SUM(AI89:AK89),SUM(AL89:AN89),SUM(AO89:AQ89),SUM(AR89:AT89)),0)</f>
        <v/>
      </c>
      <c r="AW89" t="inlineStr">
        <is>
          <t>Salário médio mensal</t>
        </is>
      </c>
      <c r="AX89">
        <f>IFERROR(CHOOSE(MATCH($AW$6,{"Ano Completo","1º Semestre","2º Semestre","1º Trimestre","2º Trimestre","3º Trimestre","4º Trimestre"},0),SUM(AY89:BJ89),SUM(AY89:BD89),SUM(BE89:BJ89),SUM(AY89:BA89),SUM(BB89:BD89),SUM(BE89:BG89),SUM(BH89:BJ89)),0)</f>
        <v/>
      </c>
      <c r="BL89" t="inlineStr">
        <is>
          <t>Salário médio mensal</t>
        </is>
      </c>
      <c r="BM89">
        <f>IFERROR(CHOOSE(MATCH($BL$6,{"Ano Completo","1º Semestre","2º Semestre","1º Trimestre","2º Trimestre","3º Trimestre","4º Trimestre"},0),SUM(BN89:BY89),SUM(BN89:BS89),SUM(BT89:BY89),SUM(BN89:BP89),SUM(BQ89:BS89),SUM(BT89:BV89),SUM(BW89:BY89)),0)</f>
        <v/>
      </c>
      <c r="CB89" t="inlineStr">
        <is>
          <t>Salário médio mensal</t>
        </is>
      </c>
      <c r="CC89">
        <f>IFERROR(CHOOSE(MATCH($CB$6,{"Ano Completo","1º Semestre","2º Semestre","1º Trimestre","2º Trimestre","3º Trimestre","4º Trimestre"},0),SUM(CD89:CO89),SUM(CD89:CI89),SUM(CJ89:CO89),SUM(CD89:CF89),SUM(CG89:CI89),SUM(CJ89:CL89),SUM(CM89:CO89)),0)</f>
        <v/>
      </c>
      <c r="CQ89" t="inlineStr">
        <is>
          <t>Salário médio mensal</t>
        </is>
      </c>
      <c r="CR89">
        <f>IFERROR(CHOOSE(MATCH($CQ$6,{"Ano Completo","1º Semestre","2º Semestre","1º Trimestre","2º Trimestre","3º Trimestre","4º Trimestre"},0),SUM(CS89:DD89),SUM(CS89:CX89),SUM(CY89:DD89),SUM(CS89:CU89),SUM(CV89:CX89),SUM(CY89:DA89),SUM(DB89:DD89)),0)</f>
        <v/>
      </c>
      <c r="DG89" t="inlineStr">
        <is>
          <t>Salário médio mensal</t>
        </is>
      </c>
      <c r="DH89">
        <f>IFERROR(CHOOSE(MATCH($DG$6,{"Ano Completo","1º Semestre","2º Semestre","1º Trimestre","2º Trimestre","3º Trimestre","4º Trimestre"},0),SUM(DI89:DT89),SUM(DI89:DN89),SUM(DO89:DT89),SUM(DI89:DK89),SUM(DL89:DN89),SUM(DO89:DQ89),SUM(DR89:DT89)),0)</f>
        <v/>
      </c>
      <c r="DV89" t="inlineStr">
        <is>
          <t>Salário médio mensal</t>
        </is>
      </c>
      <c r="DW89">
        <f>IFERROR(CHOOSE(MATCH($DV$6,{"Ano Completo","1º Semestre","2º Semestre","1º Trimestre","2º Trimestre","3º Trimestre","4º Trimestre"},0),SUM(DX89:EI89),SUM(DX89:EC89),SUM(ED89:EI89),SUM(DX89:DZ89),SUM(EA89:EC89),SUM(ED89:EF89),SUM(EG89:EI89)),0)</f>
        <v/>
      </c>
      <c r="EL89" t="inlineStr">
        <is>
          <t>Salário médio mensal</t>
        </is>
      </c>
      <c r="EM89">
        <f>IFERROR(CHOOSE(MATCH($EL$6,{"Ano Completo","1º Semestre","2º Semestre","1º Trimestre","2º Trimestre","3º Trimestre","4º Trimestre"},0),SUM(EN89:EY89),SUM(EN89:ES89),SUM(ET89:EY89),SUM(EN89:EP89),SUM(EQ89:ES89),SUM(ET89:EV89),SUM(EW89:EY89)),0)</f>
        <v/>
      </c>
    </row>
    <row r="90">
      <c r="B90" t="inlineStr">
        <is>
          <t>Comissão média mensal</t>
        </is>
      </c>
      <c r="C90">
        <f>IFERROR(CHOOSE(MATCH($B$6,{"Ano Completo","1º Semestre","2º Semestre","1º Trimestre","2º Trimestre","3º Trimestre","4º Trimestre"},0),SUM(D90:O90),SUM(D90:I90),SUM(J90:O90),SUM(D90:F90),SUM(G90:I90),SUM(J90:L90),SUM(M90:O90)),0)</f>
        <v/>
      </c>
      <c r="R90" t="inlineStr">
        <is>
          <t>Comissão média mensal</t>
        </is>
      </c>
      <c r="S90">
        <f>IFERROR(CHOOSE(MATCH($R$6,{"Ano Completo","1º Semestre","2º Semestre","1º Trimestre","2º Trimestre","3º Trimestre","4º Trimestre"},0),SUM(T90:AE90),SUM(T90:Y90),SUM(Z90:AE90),SUM(T90:V90),SUM(W90:Y90),SUM(Z90:AB90),SUM(AC90:AE90)),0)</f>
        <v/>
      </c>
      <c r="AG90" t="inlineStr">
        <is>
          <t>Comissão média mensal</t>
        </is>
      </c>
      <c r="AH90">
        <f>IFERROR(CHOOSE(MATCH($AG$6,{"Ano Completo","1º Semestre","2º Semestre","1º Trimestre","2º Trimestre","3º Trimestre","4º Trimestre"},0),SUM(AI90:AT90),SUM(AI90:AN90),SUM(AO90:AT90),SUM(AI90:AK90),SUM(AL90:AN90),SUM(AO90:AQ90),SUM(AR90:AT90)),0)</f>
        <v/>
      </c>
      <c r="AW90" t="inlineStr">
        <is>
          <t>Comissão média mensal</t>
        </is>
      </c>
      <c r="AX90">
        <f>IFERROR(CHOOSE(MATCH($AW$6,{"Ano Completo","1º Semestre","2º Semestre","1º Trimestre","2º Trimestre","3º Trimestre","4º Trimestre"},0),SUM(AY90:BJ90),SUM(AY90:BD90),SUM(BE90:BJ90),SUM(AY90:BA90),SUM(BB90:BD90),SUM(BE90:BG90),SUM(BH90:BJ90)),0)</f>
        <v/>
      </c>
      <c r="BL90" t="inlineStr">
        <is>
          <t>Comissão média mensal</t>
        </is>
      </c>
      <c r="BM90">
        <f>IFERROR(CHOOSE(MATCH($BL$6,{"Ano Completo","1º Semestre","2º Semestre","1º Trimestre","2º Trimestre","3º Trimestre","4º Trimestre"},0),SUM(BN90:BY90),SUM(BN90:BS90),SUM(BT90:BY90),SUM(BN90:BP90),SUM(BQ90:BS90),SUM(BT90:BV90),SUM(BW90:BY90)),0)</f>
        <v/>
      </c>
      <c r="CB90" t="inlineStr">
        <is>
          <t>Comissão média mensal</t>
        </is>
      </c>
      <c r="CC90">
        <f>IFERROR(CHOOSE(MATCH($CB$6,{"Ano Completo","1º Semestre","2º Semestre","1º Trimestre","2º Trimestre","3º Trimestre","4º Trimestre"},0),SUM(CD90:CO90),SUM(CD90:CI90),SUM(CJ90:CO90),SUM(CD90:CF90),SUM(CG90:CI90),SUM(CJ90:CL90),SUM(CM90:CO90)),0)</f>
        <v/>
      </c>
      <c r="CQ90" t="inlineStr">
        <is>
          <t>Comissão média mensal</t>
        </is>
      </c>
      <c r="CR90">
        <f>IFERROR(CHOOSE(MATCH($CQ$6,{"Ano Completo","1º Semestre","2º Semestre","1º Trimestre","2º Trimestre","3º Trimestre","4º Trimestre"},0),SUM(CS90:DD90),SUM(CS90:CX90),SUM(CY90:DD90),SUM(CS90:CU90),SUM(CV90:CX90),SUM(CY90:DA90),SUM(DB90:DD90)),0)</f>
        <v/>
      </c>
      <c r="DG90" t="inlineStr">
        <is>
          <t>Comissão média mensal</t>
        </is>
      </c>
      <c r="DH90">
        <f>IFERROR(CHOOSE(MATCH($DG$6,{"Ano Completo","1º Semestre","2º Semestre","1º Trimestre","2º Trimestre","3º Trimestre","4º Trimestre"},0),SUM(DI90:DT90),SUM(DI90:DN90),SUM(DO90:DT90),SUM(DI90:DK90),SUM(DL90:DN90),SUM(DO90:DQ90),SUM(DR90:DT90)),0)</f>
        <v/>
      </c>
      <c r="DV90" t="inlineStr">
        <is>
          <t>Comissão média mensal</t>
        </is>
      </c>
      <c r="DW90">
        <f>IFERROR(CHOOSE(MATCH($DV$6,{"Ano Completo","1º Semestre","2º Semestre","1º Trimestre","2º Trimestre","3º Trimestre","4º Trimestre"},0),SUM(DX90:EI90),SUM(DX90:EC90),SUM(ED90:EI90),SUM(DX90:DZ90),SUM(EA90:EC90),SUM(ED90:EF90),SUM(EG90:EI90)),0)</f>
        <v/>
      </c>
      <c r="EL90" t="inlineStr">
        <is>
          <t>Comissão média mensal</t>
        </is>
      </c>
      <c r="EM90">
        <f>IFERROR(CHOOSE(MATCH($EL$6,{"Ano Completo","1º Semestre","2º Semestre","1º Trimestre","2º Trimestre","3º Trimestre","4º Trimestre"},0),SUM(EN90:EY90),SUM(EN90:ES90),SUM(ET90:EY90),SUM(EN90:EP90),SUM(EQ90:ES90),SUM(ET90:EV90),SUM(EW90:EY90)),0)</f>
        <v/>
      </c>
    </row>
    <row r="91">
      <c r="B91" t="inlineStr">
        <is>
          <t>Total Remuneração média mensal</t>
        </is>
      </c>
      <c r="C91">
        <f>IFERROR(CHOOSE(MATCH($B$6,{"Ano Completo","1º Semestre","2º Semestre","1º Trimestre","2º Trimestre","3º Trimestre","4º Trimestre"},0),SUM(D91:O91),SUM(D91:I91),SUM(J91:O91),SUM(D91:F91),SUM(G91:I91),SUM(J91:L91),SUM(M91:O91)),0)</f>
        <v/>
      </c>
      <c r="R91" t="inlineStr">
        <is>
          <t>Total Remuneração média mensal</t>
        </is>
      </c>
      <c r="S91">
        <f>IFERROR(CHOOSE(MATCH($R$6,{"Ano Completo","1º Semestre","2º Semestre","1º Trimestre","2º Trimestre","3º Trimestre","4º Trimestre"},0),SUM(T91:AE91),SUM(T91:Y91),SUM(Z91:AE91),SUM(T91:V91),SUM(W91:Y91),SUM(Z91:AB91),SUM(AC91:AE91)),0)</f>
        <v/>
      </c>
      <c r="AG91" t="inlineStr">
        <is>
          <t>Total Remuneração média mensal</t>
        </is>
      </c>
      <c r="AH91">
        <f>IFERROR(CHOOSE(MATCH($AG$6,{"Ano Completo","1º Semestre","2º Semestre","1º Trimestre","2º Trimestre","3º Trimestre","4º Trimestre"},0),SUM(AI91:AT91),SUM(AI91:AN91),SUM(AO91:AT91),SUM(AI91:AK91),SUM(AL91:AN91),SUM(AO91:AQ91),SUM(AR91:AT91)),0)</f>
        <v/>
      </c>
      <c r="AW91" t="inlineStr">
        <is>
          <t>Total Remuneração média mensal</t>
        </is>
      </c>
      <c r="AX91">
        <f>IFERROR(CHOOSE(MATCH($AW$6,{"Ano Completo","1º Semestre","2º Semestre","1º Trimestre","2º Trimestre","3º Trimestre","4º Trimestre"},0),SUM(AY91:BJ91),SUM(AY91:BD91),SUM(BE91:BJ91),SUM(AY91:BA91),SUM(BB91:BD91),SUM(BE91:BG91),SUM(BH91:BJ91)),0)</f>
        <v/>
      </c>
      <c r="BL91" t="inlineStr">
        <is>
          <t>Total Remuneração média mensal</t>
        </is>
      </c>
      <c r="BM91">
        <f>IFERROR(CHOOSE(MATCH($BL$6,{"Ano Completo","1º Semestre","2º Semestre","1º Trimestre","2º Trimestre","3º Trimestre","4º Trimestre"},0),SUM(BN91:BY91),SUM(BN91:BS91),SUM(BT91:BY91),SUM(BN91:BP91),SUM(BQ91:BS91),SUM(BT91:BV91),SUM(BW91:BY91)),0)</f>
        <v/>
      </c>
      <c r="CB91" t="inlineStr">
        <is>
          <t>Total Remuneração média mensal</t>
        </is>
      </c>
      <c r="CC91">
        <f>IFERROR(CHOOSE(MATCH($CB$6,{"Ano Completo","1º Semestre","2º Semestre","1º Trimestre","2º Trimestre","3º Trimestre","4º Trimestre"},0),SUM(CD91:CO91),SUM(CD91:CI91),SUM(CJ91:CO91),SUM(CD91:CF91),SUM(CG91:CI91),SUM(CJ91:CL91),SUM(CM91:CO91)),0)</f>
        <v/>
      </c>
      <c r="CQ91" t="inlineStr">
        <is>
          <t>Total Remuneração média mensal</t>
        </is>
      </c>
      <c r="CR91">
        <f>IFERROR(CHOOSE(MATCH($CQ$6,{"Ano Completo","1º Semestre","2º Semestre","1º Trimestre","2º Trimestre","3º Trimestre","4º Trimestre"},0),SUM(CS91:DD91),SUM(CS91:CX91),SUM(CY91:DD91),SUM(CS91:CU91),SUM(CV91:CX91),SUM(CY91:DA91),SUM(DB91:DD91)),0)</f>
        <v/>
      </c>
      <c r="DG91" t="inlineStr">
        <is>
          <t>Total Remuneração média mensal</t>
        </is>
      </c>
      <c r="DH91">
        <f>IFERROR(CHOOSE(MATCH($DG$6,{"Ano Completo","1º Semestre","2º Semestre","1º Trimestre","2º Trimestre","3º Trimestre","4º Trimestre"},0),SUM(DI91:DT91),SUM(DI91:DN91),SUM(DO91:DT91),SUM(DI91:DK91),SUM(DL91:DN91),SUM(DO91:DQ91),SUM(DR91:DT91)),0)</f>
        <v/>
      </c>
      <c r="DV91" t="inlineStr">
        <is>
          <t>Total Remuneração média mensal</t>
        </is>
      </c>
      <c r="DW91">
        <f>IFERROR(CHOOSE(MATCH($DV$6,{"Ano Completo","1º Semestre","2º Semestre","1º Trimestre","2º Trimestre","3º Trimestre","4º Trimestre"},0),SUM(DX91:EI91),SUM(DX91:EC91),SUM(ED91:EI91),SUM(DX91:DZ91),SUM(EA91:EC91),SUM(ED91:EF91),SUM(EG91:EI91)),0)</f>
        <v/>
      </c>
      <c r="EL91" t="inlineStr">
        <is>
          <t>Total Remuneração média mensal</t>
        </is>
      </c>
      <c r="EM91">
        <f>IFERROR(CHOOSE(MATCH($EL$6,{"Ano Completo","1º Semestre","2º Semestre","1º Trimestre","2º Trimestre","3º Trimestre","4º Trimestre"},0),SUM(EN91:EY91),SUM(EN91:ES91),SUM(ET91:EY91),SUM(EN91:EP91),SUM(EQ91:ES91),SUM(ET91:EV91),SUM(EW91:EY91)),0)</f>
        <v/>
      </c>
    </row>
    <row r="94">
      <c r="B94" t="inlineStr">
        <is>
          <t>Desp. Especializadas</t>
        </is>
      </c>
      <c r="C94">
        <f>IFERROR(CHOOSE(MATCH($B$6,{"Ano Completo","1º Semestre","2º Semestre","1º Trimestre","2º Trimestre","3º Trimestre","4º Trimestre"},0),SUM(D94:O94),SUM(D94:I94),SUM(J94:O94),SUM(D94:F94),SUM(G94:I94),SUM(J94:L94),SUM(M94:O94)),0)</f>
        <v/>
      </c>
      <c r="R94" t="inlineStr">
        <is>
          <t>Desp. Especializadas</t>
        </is>
      </c>
      <c r="S94">
        <f>IFERROR(CHOOSE(MATCH($R$6,{"Ano Completo","1º Semestre","2º Semestre","1º Trimestre","2º Trimestre","3º Trimestre","4º Trimestre"},0),SUM(T94:AE94),SUM(T94:Y94),SUM(Z94:AE94),SUM(T94:V94),SUM(W94:Y94),SUM(Z94:AB94),SUM(AC94:AE94)),0)</f>
        <v/>
      </c>
      <c r="AG94" t="inlineStr">
        <is>
          <t>Desp. Especializadas</t>
        </is>
      </c>
      <c r="AH94">
        <f>IFERROR(CHOOSE(MATCH($AG$6,{"Ano Completo","1º Semestre","2º Semestre","1º Trimestre","2º Trimestre","3º Trimestre","4º Trimestre"},0),SUM(AI94:AT94),SUM(AI94:AN94),SUM(AO94:AT94),SUM(AI94:AK94),SUM(AL94:AN94),SUM(AO94:AQ94),SUM(AR94:AT94)),0)</f>
        <v/>
      </c>
      <c r="AI94" t="n">
        <v>158355</v>
      </c>
      <c r="AJ94" t="n">
        <v>149106</v>
      </c>
      <c r="AK94" t="n">
        <v>178602</v>
      </c>
      <c r="AL94" t="n">
        <v>198908</v>
      </c>
      <c r="AM94" t="n">
        <v>209553</v>
      </c>
      <c r="AN94" t="n">
        <v>203895</v>
      </c>
      <c r="AO94" t="n">
        <v>171469</v>
      </c>
      <c r="AP94" t="n">
        <v>180921</v>
      </c>
      <c r="AQ94" t="n">
        <v>203751</v>
      </c>
      <c r="AR94" t="n">
        <v>179035</v>
      </c>
      <c r="AS94" t="n">
        <v>187461</v>
      </c>
      <c r="AT94" t="n">
        <v>186082</v>
      </c>
      <c r="AW94" t="inlineStr">
        <is>
          <t>Desp. Especializadas</t>
        </is>
      </c>
      <c r="AX94">
        <f>IFERROR(CHOOSE(MATCH($AW$6,{"Ano Completo","1º Semestre","2º Semestre","1º Trimestre","2º Trimestre","3º Trimestre","4º Trimestre"},0),SUM(AY94:BJ94),SUM(AY94:BD94),SUM(BE94:BJ94),SUM(AY94:BA94),SUM(BB94:BD94),SUM(BE94:BG94),SUM(BH94:BJ94)),0)</f>
        <v/>
      </c>
      <c r="AY94" t="n">
        <v>262721</v>
      </c>
      <c r="AZ94" t="n">
        <v>190126</v>
      </c>
      <c r="BA94" t="n">
        <v>142150</v>
      </c>
      <c r="BB94" t="n">
        <v>230571</v>
      </c>
      <c r="BC94" t="n">
        <v>187507</v>
      </c>
      <c r="BD94" t="n">
        <v>218471</v>
      </c>
      <c r="BE94" t="n">
        <v>184169</v>
      </c>
      <c r="BF94" t="n">
        <v>185624</v>
      </c>
      <c r="BG94" t="n">
        <v>220776</v>
      </c>
      <c r="BH94" t="n">
        <v>175202</v>
      </c>
      <c r="BI94" t="n">
        <v>196572</v>
      </c>
      <c r="BJ94" t="n">
        <v>163891</v>
      </c>
      <c r="BL94" t="inlineStr">
        <is>
          <t>Desp. Especializadas</t>
        </is>
      </c>
      <c r="BM94">
        <f>IFERROR(CHOOSE(MATCH($BL$6,{"Ano Completo","1º Semestre","2º Semestre","1º Trimestre","2º Trimestre","3º Trimestre","4º Trimestre"},0),SUM(BN94:BY94),SUM(BN94:BS94),SUM(BT94:BY94),SUM(BN94:BP94),SUM(BQ94:BS94),SUM(BT94:BV94),SUM(BW94:BY94)),0)</f>
        <v/>
      </c>
      <c r="BN94" t="n">
        <v>158355</v>
      </c>
      <c r="BO94" t="n">
        <v>149106</v>
      </c>
      <c r="BP94" t="n">
        <v>178602</v>
      </c>
      <c r="BQ94" t="n">
        <v>198908</v>
      </c>
      <c r="BR94" t="n">
        <v>209553</v>
      </c>
      <c r="BS94" t="n">
        <v>203895</v>
      </c>
      <c r="BT94" t="n">
        <v>171469</v>
      </c>
      <c r="BU94" t="n">
        <v>180921</v>
      </c>
      <c r="BV94" t="n">
        <v>203751</v>
      </c>
      <c r="BW94" t="n">
        <v>179035</v>
      </c>
      <c r="BX94" t="n">
        <v>187461</v>
      </c>
      <c r="BY94" t="n">
        <v>186082</v>
      </c>
      <c r="CB94" t="inlineStr">
        <is>
          <t>Desp. Especializadas</t>
        </is>
      </c>
      <c r="CC94">
        <f>IFERROR(CHOOSE(MATCH($CB$6,{"Ano Completo","1º Semestre","2º Semestre","1º Trimestre","2º Trimestre","3º Trimestre","4º Trimestre"},0),SUM(CD94:CO94),SUM(CD94:CI94),SUM(CJ94:CO94),SUM(CD94:CF94),SUM(CG94:CI94),SUM(CJ94:CL94),SUM(CM94:CO94)),0)</f>
        <v/>
      </c>
      <c r="CD94" t="n">
        <v>262721</v>
      </c>
      <c r="CE94" t="n">
        <v>190126</v>
      </c>
      <c r="CF94" t="n">
        <v>142150</v>
      </c>
      <c r="CG94" t="n">
        <v>230571</v>
      </c>
      <c r="CH94" t="n">
        <v>187507</v>
      </c>
      <c r="CI94" t="n">
        <v>218471</v>
      </c>
      <c r="CJ94" t="n">
        <v>184169</v>
      </c>
      <c r="CK94" t="n">
        <v>185624</v>
      </c>
      <c r="CL94" t="n">
        <v>220776</v>
      </c>
      <c r="CM94" t="n">
        <v>175202</v>
      </c>
      <c r="CN94" t="n">
        <v>196572</v>
      </c>
      <c r="CO94" t="n">
        <v>163891</v>
      </c>
      <c r="CQ94" t="inlineStr">
        <is>
          <t>Desp. Especializadas</t>
        </is>
      </c>
      <c r="CR94">
        <f>IFERROR(CHOOSE(MATCH($CQ$6,{"Ano Completo","1º Semestre","2º Semestre","1º Trimestre","2º Trimestre","3º Trimestre","4º Trimestre"},0),SUM(CS94:DD94),SUM(CS94:CX94),SUM(CY94:DD94),SUM(CS94:CU94),SUM(CV94:CX94),SUM(CY94:DA94),SUM(DB94:DD94)),0)</f>
        <v/>
      </c>
      <c r="CS94" t="n">
        <v>158355</v>
      </c>
      <c r="CT94" t="n">
        <v>149106</v>
      </c>
      <c r="CU94" t="n">
        <v>178602</v>
      </c>
      <c r="CV94" t="n">
        <v>198908</v>
      </c>
      <c r="CW94" t="n">
        <v>209553</v>
      </c>
      <c r="CX94" t="n">
        <v>203895</v>
      </c>
      <c r="CY94" t="n">
        <v>171469</v>
      </c>
      <c r="CZ94" t="n">
        <v>180921</v>
      </c>
      <c r="DA94" t="n">
        <v>203751</v>
      </c>
      <c r="DB94" t="n">
        <v>179035</v>
      </c>
      <c r="DC94" t="n">
        <v>187461</v>
      </c>
      <c r="DD94" t="n">
        <v>186082</v>
      </c>
      <c r="DG94" t="inlineStr">
        <is>
          <t>Desp. Especializadas</t>
        </is>
      </c>
      <c r="DH94">
        <f>IFERROR(CHOOSE(MATCH($DG$6,{"Ano Completo","1º Semestre","2º Semestre","1º Trimestre","2º Trimestre","3º Trimestre","4º Trimestre"},0),SUM(DI94:DT94),SUM(DI94:DN94),SUM(DO94:DT94),SUM(DI94:DK94),SUM(DL94:DN94),SUM(DO94:DQ94),SUM(DR94:DT94)),0)</f>
        <v/>
      </c>
      <c r="DI94" t="n">
        <v>262721</v>
      </c>
      <c r="DJ94" t="n">
        <v>190126</v>
      </c>
      <c r="DK94" t="n">
        <v>142150</v>
      </c>
      <c r="DL94" t="n">
        <v>230571</v>
      </c>
      <c r="DM94" t="n">
        <v>187507</v>
      </c>
      <c r="DN94" t="n">
        <v>218471</v>
      </c>
      <c r="DO94" t="n">
        <v>184169</v>
      </c>
      <c r="DP94" t="n">
        <v>185624</v>
      </c>
      <c r="DQ94" t="n">
        <v>220776</v>
      </c>
      <c r="DR94" t="n">
        <v>175202</v>
      </c>
      <c r="DS94" t="n">
        <v>196572</v>
      </c>
      <c r="DT94" t="n">
        <v>163891</v>
      </c>
      <c r="DV94" t="inlineStr">
        <is>
          <t>Desp. Especializadas</t>
        </is>
      </c>
      <c r="DW94">
        <f>IFERROR(CHOOSE(MATCH($DV$6,{"Ano Completo","1º Semestre","2º Semestre","1º Trimestre","2º Trimestre","3º Trimestre","4º Trimestre"},0),SUM(DX94:EI94),SUM(DX94:EC94),SUM(ED94:EI94),SUM(DX94:DZ94),SUM(EA94:EC94),SUM(ED94:EF94),SUM(EG94:EI94)),0)</f>
        <v/>
      </c>
      <c r="DX94" t="n">
        <v>158355</v>
      </c>
      <c r="DY94" t="n">
        <v>149106</v>
      </c>
      <c r="DZ94" t="n">
        <v>178602</v>
      </c>
      <c r="EA94" t="n">
        <v>198908</v>
      </c>
      <c r="EB94" t="n">
        <v>209553</v>
      </c>
      <c r="EC94" t="n">
        <v>203895</v>
      </c>
      <c r="ED94" t="n">
        <v>171469</v>
      </c>
      <c r="EE94" t="n">
        <v>180921</v>
      </c>
      <c r="EF94" t="n">
        <v>203751</v>
      </c>
      <c r="EG94" t="n">
        <v>179035</v>
      </c>
      <c r="EH94" t="n">
        <v>187461</v>
      </c>
      <c r="EI94" t="n">
        <v>186082</v>
      </c>
      <c r="EL94" t="inlineStr">
        <is>
          <t>Desp. Especializadas</t>
        </is>
      </c>
      <c r="EM94">
        <f>IFERROR(CHOOSE(MATCH($EL$6,{"Ano Completo","1º Semestre","2º Semestre","1º Trimestre","2º Trimestre","3º Trimestre","4º Trimestre"},0),SUM(EN94:EY94),SUM(EN94:ES94),SUM(ET94:EY94),SUM(EN94:EP94),SUM(EQ94:ES94),SUM(ET94:EV94),SUM(EW94:EY94)),0)</f>
        <v/>
      </c>
      <c r="EN94" t="n">
        <v>262721</v>
      </c>
      <c r="EO94" t="n">
        <v>190126</v>
      </c>
      <c r="EP94" t="n">
        <v>142150</v>
      </c>
      <c r="EQ94" t="n">
        <v>230571</v>
      </c>
      <c r="ER94" t="n">
        <v>187507</v>
      </c>
      <c r="ES94" t="n">
        <v>218471</v>
      </c>
      <c r="ET94" t="n">
        <v>184169</v>
      </c>
      <c r="EU94" t="n">
        <v>185624</v>
      </c>
      <c r="EV94" t="n">
        <v>220776</v>
      </c>
      <c r="EW94" t="n">
        <v>175202</v>
      </c>
      <c r="EX94" t="n">
        <v>196572</v>
      </c>
      <c r="EY94" t="n">
        <v>163891</v>
      </c>
    </row>
    <row r="96">
      <c r="B96" t="inlineStr">
        <is>
          <t>Assessoria Contábil</t>
        </is>
      </c>
      <c r="C96">
        <f>IFERROR(CHOOSE(MATCH($B$6,{"Ano Completo","1º Semestre","2º Semestre","1º Trimestre","2º Trimestre","3º Trimestre","4º Trimestre"},0),SUM(D96:O96),SUM(D96:I96),SUM(J96:O96),SUM(D96:F96),SUM(G96:I96),SUM(J96:L96),SUM(M96:O96)),0)</f>
        <v/>
      </c>
      <c r="R96" t="inlineStr">
        <is>
          <t>Assessoria Contábil</t>
        </is>
      </c>
      <c r="S96">
        <f>IFERROR(CHOOSE(MATCH($R$6,{"Ano Completo","1º Semestre","2º Semestre","1º Trimestre","2º Trimestre","3º Trimestre","4º Trimestre"},0),SUM(T96:AE96),SUM(T96:Y96),SUM(Z96:AE96),SUM(T96:V96),SUM(W96:Y96),SUM(Z96:AB96),SUM(AC96:AE96)),0)</f>
        <v/>
      </c>
      <c r="AG96" t="inlineStr">
        <is>
          <t>Assessoria Contábil</t>
        </is>
      </c>
      <c r="AH96">
        <f>IFERROR(CHOOSE(MATCH($AG$6,{"Ano Completo","1º Semestre","2º Semestre","1º Trimestre","2º Trimestre","3º Trimestre","4º Trimestre"},0),SUM(AI96:AT96),SUM(AI96:AN96),SUM(AO96:AT96),SUM(AI96:AK96),SUM(AL96:AN96),SUM(AO96:AQ96),SUM(AR96:AT96)),0)</f>
        <v/>
      </c>
      <c r="AI96" t="n">
        <v>7070</v>
      </c>
      <c r="AJ96" t="n">
        <v>7276</v>
      </c>
      <c r="AK96" t="n">
        <v>9820</v>
      </c>
      <c r="AL96" t="n">
        <v>11101</v>
      </c>
      <c r="AM96" t="n">
        <v>13092</v>
      </c>
      <c r="AN96" t="n">
        <v>15550</v>
      </c>
      <c r="AO96" t="n">
        <v>6801</v>
      </c>
      <c r="AP96" t="n">
        <v>11086</v>
      </c>
      <c r="AQ96" t="n">
        <v>14839</v>
      </c>
      <c r="AR96" t="n">
        <v>16220</v>
      </c>
      <c r="AS96" t="n">
        <v>12336</v>
      </c>
      <c r="AT96" t="n">
        <v>8148</v>
      </c>
      <c r="AW96" t="inlineStr">
        <is>
          <t>Assessoria Contábil</t>
        </is>
      </c>
      <c r="AX96">
        <f>IFERROR(CHOOSE(MATCH($AW$6,{"Ano Completo","1º Semestre","2º Semestre","1º Trimestre","2º Trimestre","3º Trimestre","4º Trimestre"},0),SUM(AY96:BJ96),SUM(AY96:BD96),SUM(BE96:BJ96),SUM(AY96:BA96),SUM(BB96:BD96),SUM(BE96:BG96),SUM(BH96:BJ96)),0)</f>
        <v/>
      </c>
      <c r="AY96" t="n">
        <v>17554</v>
      </c>
      <c r="AZ96" t="n">
        <v>4617</v>
      </c>
      <c r="BA96" t="n">
        <v>1144</v>
      </c>
      <c r="BB96" t="n">
        <v>10385</v>
      </c>
      <c r="BC96" t="n">
        <v>11453</v>
      </c>
      <c r="BD96" t="n">
        <v>16273</v>
      </c>
      <c r="BE96" t="n">
        <v>13418</v>
      </c>
      <c r="BF96" t="n">
        <v>19264</v>
      </c>
      <c r="BG96" t="n">
        <v>12865</v>
      </c>
      <c r="BH96" t="n">
        <v>18932</v>
      </c>
      <c r="BI96" t="n">
        <v>2901</v>
      </c>
      <c r="BJ96" t="n">
        <v>2164</v>
      </c>
      <c r="BL96" t="inlineStr">
        <is>
          <t>Assessoria Contábil</t>
        </is>
      </c>
      <c r="BM96">
        <f>IFERROR(CHOOSE(MATCH($BL$6,{"Ano Completo","1º Semestre","2º Semestre","1º Trimestre","2º Trimestre","3º Trimestre","4º Trimestre"},0),SUM(BN96:BY96),SUM(BN96:BS96),SUM(BT96:BY96),SUM(BN96:BP96),SUM(BQ96:BS96),SUM(BT96:BV96),SUM(BW96:BY96)),0)</f>
        <v/>
      </c>
      <c r="BN96" t="n">
        <v>7070</v>
      </c>
      <c r="BO96" t="n">
        <v>7276</v>
      </c>
      <c r="BP96" t="n">
        <v>9820</v>
      </c>
      <c r="BQ96" t="n">
        <v>11101</v>
      </c>
      <c r="BR96" t="n">
        <v>13092</v>
      </c>
      <c r="BS96" t="n">
        <v>15550</v>
      </c>
      <c r="BT96" t="n">
        <v>6801</v>
      </c>
      <c r="BU96" t="n">
        <v>11086</v>
      </c>
      <c r="BV96" t="n">
        <v>14839</v>
      </c>
      <c r="BW96" t="n">
        <v>16220</v>
      </c>
      <c r="BX96" t="n">
        <v>12336</v>
      </c>
      <c r="BY96" t="n">
        <v>8148</v>
      </c>
      <c r="CB96" t="inlineStr">
        <is>
          <t>Assessoria Contábil</t>
        </is>
      </c>
      <c r="CC96">
        <f>IFERROR(CHOOSE(MATCH($CB$6,{"Ano Completo","1º Semestre","2º Semestre","1º Trimestre","2º Trimestre","3º Trimestre","4º Trimestre"},0),SUM(CD96:CO96),SUM(CD96:CI96),SUM(CJ96:CO96),SUM(CD96:CF96),SUM(CG96:CI96),SUM(CJ96:CL96),SUM(CM96:CO96)),0)</f>
        <v/>
      </c>
      <c r="CD96" t="n">
        <v>17554</v>
      </c>
      <c r="CE96" t="n">
        <v>4617</v>
      </c>
      <c r="CF96" t="n">
        <v>1144</v>
      </c>
      <c r="CG96" t="n">
        <v>10385</v>
      </c>
      <c r="CH96" t="n">
        <v>11453</v>
      </c>
      <c r="CI96" t="n">
        <v>16273</v>
      </c>
      <c r="CJ96" t="n">
        <v>13418</v>
      </c>
      <c r="CK96" t="n">
        <v>19264</v>
      </c>
      <c r="CL96" t="n">
        <v>12865</v>
      </c>
      <c r="CM96" t="n">
        <v>18932</v>
      </c>
      <c r="CN96" t="n">
        <v>2901</v>
      </c>
      <c r="CO96" t="n">
        <v>2164</v>
      </c>
      <c r="CQ96" t="inlineStr">
        <is>
          <t>Assessoria Contábil</t>
        </is>
      </c>
      <c r="CR96">
        <f>IFERROR(CHOOSE(MATCH($CQ$6,{"Ano Completo","1º Semestre","2º Semestre","1º Trimestre","2º Trimestre","3º Trimestre","4º Trimestre"},0),SUM(CS96:DD96),SUM(CS96:CX96),SUM(CY96:DD96),SUM(CS96:CU96),SUM(CV96:CX96),SUM(CY96:DA96),SUM(DB96:DD96)),0)</f>
        <v/>
      </c>
      <c r="CS96" t="n">
        <v>7070</v>
      </c>
      <c r="CT96" t="n">
        <v>7276</v>
      </c>
      <c r="CU96" t="n">
        <v>9820</v>
      </c>
      <c r="CV96" t="n">
        <v>11101</v>
      </c>
      <c r="CW96" t="n">
        <v>13092</v>
      </c>
      <c r="CX96" t="n">
        <v>15550</v>
      </c>
      <c r="CY96" t="n">
        <v>6801</v>
      </c>
      <c r="CZ96" t="n">
        <v>11086</v>
      </c>
      <c r="DA96" t="n">
        <v>14839</v>
      </c>
      <c r="DB96" t="n">
        <v>16220</v>
      </c>
      <c r="DC96" t="n">
        <v>12336</v>
      </c>
      <c r="DD96" t="n">
        <v>8148</v>
      </c>
      <c r="DG96" t="inlineStr">
        <is>
          <t>Assessoria Contábil</t>
        </is>
      </c>
      <c r="DH96">
        <f>IFERROR(CHOOSE(MATCH($DG$6,{"Ano Completo","1º Semestre","2º Semestre","1º Trimestre","2º Trimestre","3º Trimestre","4º Trimestre"},0),SUM(DI96:DT96),SUM(DI96:DN96),SUM(DO96:DT96),SUM(DI96:DK96),SUM(DL96:DN96),SUM(DO96:DQ96),SUM(DR96:DT96)),0)</f>
        <v/>
      </c>
      <c r="DI96" t="n">
        <v>17554</v>
      </c>
      <c r="DJ96" t="n">
        <v>4617</v>
      </c>
      <c r="DK96" t="n">
        <v>1144</v>
      </c>
      <c r="DL96" t="n">
        <v>10385</v>
      </c>
      <c r="DM96" t="n">
        <v>11453</v>
      </c>
      <c r="DN96" t="n">
        <v>16273</v>
      </c>
      <c r="DO96" t="n">
        <v>13418</v>
      </c>
      <c r="DP96" t="n">
        <v>19264</v>
      </c>
      <c r="DQ96" t="n">
        <v>12865</v>
      </c>
      <c r="DR96" t="n">
        <v>18932</v>
      </c>
      <c r="DS96" t="n">
        <v>2901</v>
      </c>
      <c r="DT96" t="n">
        <v>2164</v>
      </c>
      <c r="DV96" t="inlineStr">
        <is>
          <t>Assessoria Contábil</t>
        </is>
      </c>
      <c r="DW96">
        <f>IFERROR(CHOOSE(MATCH($DV$6,{"Ano Completo","1º Semestre","2º Semestre","1º Trimestre","2º Trimestre","3º Trimestre","4º Trimestre"},0),SUM(DX96:EI96),SUM(DX96:EC96),SUM(ED96:EI96),SUM(DX96:DZ96),SUM(EA96:EC96),SUM(ED96:EF96),SUM(EG96:EI96)),0)</f>
        <v/>
      </c>
      <c r="DX96" t="n">
        <v>7070</v>
      </c>
      <c r="DY96" t="n">
        <v>7276</v>
      </c>
      <c r="DZ96" t="n">
        <v>9820</v>
      </c>
      <c r="EA96" t="n">
        <v>11101</v>
      </c>
      <c r="EB96" t="n">
        <v>13092</v>
      </c>
      <c r="EC96" t="n">
        <v>15550</v>
      </c>
      <c r="ED96" t="n">
        <v>6801</v>
      </c>
      <c r="EE96" t="n">
        <v>11086</v>
      </c>
      <c r="EF96" t="n">
        <v>14839</v>
      </c>
      <c r="EG96" t="n">
        <v>16220</v>
      </c>
      <c r="EH96" t="n">
        <v>12336</v>
      </c>
      <c r="EI96" t="n">
        <v>8148</v>
      </c>
      <c r="EL96" t="inlineStr">
        <is>
          <t>Assessoria Contábil</t>
        </is>
      </c>
      <c r="EM96">
        <f>IFERROR(CHOOSE(MATCH($EL$6,{"Ano Completo","1º Semestre","2º Semestre","1º Trimestre","2º Trimestre","3º Trimestre","4º Trimestre"},0),SUM(EN96:EY96),SUM(EN96:ES96),SUM(ET96:EY96),SUM(EN96:EP96),SUM(EQ96:ES96),SUM(ET96:EV96),SUM(EW96:EY96)),0)</f>
        <v/>
      </c>
      <c r="EN96" t="n">
        <v>17554</v>
      </c>
      <c r="EO96" t="n">
        <v>4617</v>
      </c>
      <c r="EP96" t="n">
        <v>1144</v>
      </c>
      <c r="EQ96" t="n">
        <v>10385</v>
      </c>
      <c r="ER96" t="n">
        <v>11453</v>
      </c>
      <c r="ES96" t="n">
        <v>16273</v>
      </c>
      <c r="ET96" t="n">
        <v>13418</v>
      </c>
      <c r="EU96" t="n">
        <v>19264</v>
      </c>
      <c r="EV96" t="n">
        <v>12865</v>
      </c>
      <c r="EW96" t="n">
        <v>18932</v>
      </c>
      <c r="EX96" t="n">
        <v>2901</v>
      </c>
      <c r="EY96" t="n">
        <v>2164</v>
      </c>
    </row>
    <row r="97">
      <c r="B97" t="inlineStr">
        <is>
          <t>Ações de Boletagem</t>
        </is>
      </c>
      <c r="C97">
        <f>IFERROR(CHOOSE(MATCH($B$6,{"Ano Completo","1º Semestre","2º Semestre","1º Trimestre","2º Trimestre","3º Trimestre","4º Trimestre"},0),SUM(D97:O97),SUM(D97:I97),SUM(J97:O97),SUM(D97:F97),SUM(G97:I97),SUM(J97:L97),SUM(M97:O97)),0)</f>
        <v/>
      </c>
      <c r="R97" t="inlineStr">
        <is>
          <t>Ações de Boletagem</t>
        </is>
      </c>
      <c r="S97">
        <f>IFERROR(CHOOSE(MATCH($R$6,{"Ano Completo","1º Semestre","2º Semestre","1º Trimestre","2º Trimestre","3º Trimestre","4º Trimestre"},0),SUM(T97:AE97),SUM(T97:Y97),SUM(Z97:AE97),SUM(T97:V97),SUM(W97:Y97),SUM(Z97:AB97),SUM(AC97:AE97)),0)</f>
        <v/>
      </c>
      <c r="AG97" t="inlineStr">
        <is>
          <t>Ações de Boletagem</t>
        </is>
      </c>
      <c r="AH97">
        <f>IFERROR(CHOOSE(MATCH($AG$6,{"Ano Completo","1º Semestre","2º Semestre","1º Trimestre","2º Trimestre","3º Trimestre","4º Trimestre"},0),SUM(AI97:AT97),SUM(AI97:AN97),SUM(AO97:AT97),SUM(AI97:AK97),SUM(AL97:AN97),SUM(AO97:AQ97),SUM(AR97:AT97)),0)</f>
        <v/>
      </c>
      <c r="AI97" t="n">
        <v>5573</v>
      </c>
      <c r="AJ97" t="n">
        <v>2605</v>
      </c>
      <c r="AK97" t="n">
        <v>1761</v>
      </c>
      <c r="AL97" t="n">
        <v>13787</v>
      </c>
      <c r="AM97" t="n">
        <v>19313</v>
      </c>
      <c r="AN97" t="n">
        <v>16419</v>
      </c>
      <c r="AO97" t="n">
        <v>4789</v>
      </c>
      <c r="AP97" t="n">
        <v>9676</v>
      </c>
      <c r="AQ97" t="n">
        <v>8008</v>
      </c>
      <c r="AR97" t="n">
        <v>11101</v>
      </c>
      <c r="AS97" t="n">
        <v>3137</v>
      </c>
      <c r="AT97" t="n">
        <v>11223</v>
      </c>
      <c r="AW97" t="inlineStr">
        <is>
          <t>Ações de Boletagem</t>
        </is>
      </c>
      <c r="AX97">
        <f>IFERROR(CHOOSE(MATCH($AW$6,{"Ano Completo","1º Semestre","2º Semestre","1º Trimestre","2º Trimestre","3º Trimestre","4º Trimestre"},0),SUM(AY97:BJ97),SUM(AY97:BD97),SUM(BE97:BJ97),SUM(AY97:BA97),SUM(BB97:BD97),SUM(BE97:BG97),SUM(BH97:BJ97)),0)</f>
        <v/>
      </c>
      <c r="AY97" t="n">
        <v>19486</v>
      </c>
      <c r="AZ97" t="n">
        <v>4600</v>
      </c>
      <c r="BA97" t="n">
        <v>3327</v>
      </c>
      <c r="BB97" t="n">
        <v>15061</v>
      </c>
      <c r="BC97" t="n">
        <v>12240</v>
      </c>
      <c r="BD97" t="n">
        <v>11513</v>
      </c>
      <c r="BE97" t="n">
        <v>3483</v>
      </c>
      <c r="BF97" t="n">
        <v>13950</v>
      </c>
      <c r="BG97" t="n">
        <v>13096</v>
      </c>
      <c r="BH97" t="n">
        <v>11281</v>
      </c>
      <c r="BI97" t="n">
        <v>17563</v>
      </c>
      <c r="BJ97" t="n">
        <v>4794</v>
      </c>
      <c r="BL97" t="inlineStr">
        <is>
          <t>Ações de Boletagem</t>
        </is>
      </c>
      <c r="BM97">
        <f>IFERROR(CHOOSE(MATCH($BL$6,{"Ano Completo","1º Semestre","2º Semestre","1º Trimestre","2º Trimestre","3º Trimestre","4º Trimestre"},0),SUM(BN97:BY97),SUM(BN97:BS97),SUM(BT97:BY97),SUM(BN97:BP97),SUM(BQ97:BS97),SUM(BT97:BV97),SUM(BW97:BY97)),0)</f>
        <v/>
      </c>
      <c r="BN97" t="n">
        <v>5573</v>
      </c>
      <c r="BO97" t="n">
        <v>2605</v>
      </c>
      <c r="BP97" t="n">
        <v>1761</v>
      </c>
      <c r="BQ97" t="n">
        <v>13787</v>
      </c>
      <c r="BR97" t="n">
        <v>19313</v>
      </c>
      <c r="BS97" t="n">
        <v>16419</v>
      </c>
      <c r="BT97" t="n">
        <v>4789</v>
      </c>
      <c r="BU97" t="n">
        <v>9676</v>
      </c>
      <c r="BV97" t="n">
        <v>8008</v>
      </c>
      <c r="BW97" t="n">
        <v>11101</v>
      </c>
      <c r="BX97" t="n">
        <v>3137</v>
      </c>
      <c r="BY97" t="n">
        <v>11223</v>
      </c>
      <c r="CB97" t="inlineStr">
        <is>
          <t>Ações de Boletagem</t>
        </is>
      </c>
      <c r="CC97">
        <f>IFERROR(CHOOSE(MATCH($CB$6,{"Ano Completo","1º Semestre","2º Semestre","1º Trimestre","2º Trimestre","3º Trimestre","4º Trimestre"},0),SUM(CD97:CO97),SUM(CD97:CI97),SUM(CJ97:CO97),SUM(CD97:CF97),SUM(CG97:CI97),SUM(CJ97:CL97),SUM(CM97:CO97)),0)</f>
        <v/>
      </c>
      <c r="CD97" t="n">
        <v>19486</v>
      </c>
      <c r="CE97" t="n">
        <v>4600</v>
      </c>
      <c r="CF97" t="n">
        <v>3327</v>
      </c>
      <c r="CG97" t="n">
        <v>15061</v>
      </c>
      <c r="CH97" t="n">
        <v>12240</v>
      </c>
      <c r="CI97" t="n">
        <v>11513</v>
      </c>
      <c r="CJ97" t="n">
        <v>3483</v>
      </c>
      <c r="CK97" t="n">
        <v>13950</v>
      </c>
      <c r="CL97" t="n">
        <v>13096</v>
      </c>
      <c r="CM97" t="n">
        <v>11281</v>
      </c>
      <c r="CN97" t="n">
        <v>17563</v>
      </c>
      <c r="CO97" t="n">
        <v>4794</v>
      </c>
      <c r="CQ97" t="inlineStr">
        <is>
          <t>Ações de Boletagem</t>
        </is>
      </c>
      <c r="CR97">
        <f>IFERROR(CHOOSE(MATCH($CQ$6,{"Ano Completo","1º Semestre","2º Semestre","1º Trimestre","2º Trimestre","3º Trimestre","4º Trimestre"},0),SUM(CS97:DD97),SUM(CS97:CX97),SUM(CY97:DD97),SUM(CS97:CU97),SUM(CV97:CX97),SUM(CY97:DA97),SUM(DB97:DD97)),0)</f>
        <v/>
      </c>
      <c r="CS97" t="n">
        <v>5573</v>
      </c>
      <c r="CT97" t="n">
        <v>2605</v>
      </c>
      <c r="CU97" t="n">
        <v>1761</v>
      </c>
      <c r="CV97" t="n">
        <v>13787</v>
      </c>
      <c r="CW97" t="n">
        <v>19313</v>
      </c>
      <c r="CX97" t="n">
        <v>16419</v>
      </c>
      <c r="CY97" t="n">
        <v>4789</v>
      </c>
      <c r="CZ97" t="n">
        <v>9676</v>
      </c>
      <c r="DA97" t="n">
        <v>8008</v>
      </c>
      <c r="DB97" t="n">
        <v>11101</v>
      </c>
      <c r="DC97" t="n">
        <v>3137</v>
      </c>
      <c r="DD97" t="n">
        <v>11223</v>
      </c>
      <c r="DG97" t="inlineStr">
        <is>
          <t>Ações de Boletagem</t>
        </is>
      </c>
      <c r="DH97">
        <f>IFERROR(CHOOSE(MATCH($DG$6,{"Ano Completo","1º Semestre","2º Semestre","1º Trimestre","2º Trimestre","3º Trimestre","4º Trimestre"},0),SUM(DI97:DT97),SUM(DI97:DN97),SUM(DO97:DT97),SUM(DI97:DK97),SUM(DL97:DN97),SUM(DO97:DQ97),SUM(DR97:DT97)),0)</f>
        <v/>
      </c>
      <c r="DI97" t="n">
        <v>19486</v>
      </c>
      <c r="DJ97" t="n">
        <v>4600</v>
      </c>
      <c r="DK97" t="n">
        <v>3327</v>
      </c>
      <c r="DL97" t="n">
        <v>15061</v>
      </c>
      <c r="DM97" t="n">
        <v>12240</v>
      </c>
      <c r="DN97" t="n">
        <v>11513</v>
      </c>
      <c r="DO97" t="n">
        <v>3483</v>
      </c>
      <c r="DP97" t="n">
        <v>13950</v>
      </c>
      <c r="DQ97" t="n">
        <v>13096</v>
      </c>
      <c r="DR97" t="n">
        <v>11281</v>
      </c>
      <c r="DS97" t="n">
        <v>17563</v>
      </c>
      <c r="DT97" t="n">
        <v>4794</v>
      </c>
      <c r="DV97" t="inlineStr">
        <is>
          <t>Ações de Boletagem</t>
        </is>
      </c>
      <c r="DW97">
        <f>IFERROR(CHOOSE(MATCH($DV$6,{"Ano Completo","1º Semestre","2º Semestre","1º Trimestre","2º Trimestre","3º Trimestre","4º Trimestre"},0),SUM(DX97:EI97),SUM(DX97:EC97),SUM(ED97:EI97),SUM(DX97:DZ97),SUM(EA97:EC97),SUM(ED97:EF97),SUM(EG97:EI97)),0)</f>
        <v/>
      </c>
      <c r="DX97" t="n">
        <v>5573</v>
      </c>
      <c r="DY97" t="n">
        <v>2605</v>
      </c>
      <c r="DZ97" t="n">
        <v>1761</v>
      </c>
      <c r="EA97" t="n">
        <v>13787</v>
      </c>
      <c r="EB97" t="n">
        <v>19313</v>
      </c>
      <c r="EC97" t="n">
        <v>16419</v>
      </c>
      <c r="ED97" t="n">
        <v>4789</v>
      </c>
      <c r="EE97" t="n">
        <v>9676</v>
      </c>
      <c r="EF97" t="n">
        <v>8008</v>
      </c>
      <c r="EG97" t="n">
        <v>11101</v>
      </c>
      <c r="EH97" t="n">
        <v>3137</v>
      </c>
      <c r="EI97" t="n">
        <v>11223</v>
      </c>
      <c r="EL97" t="inlineStr">
        <is>
          <t>Ações de Boletagem</t>
        </is>
      </c>
      <c r="EM97">
        <f>IFERROR(CHOOSE(MATCH($EL$6,{"Ano Completo","1º Semestre","2º Semestre","1º Trimestre","2º Trimestre","3º Trimestre","4º Trimestre"},0),SUM(EN97:EY97),SUM(EN97:ES97),SUM(ET97:EY97),SUM(EN97:EP97),SUM(EQ97:ES97),SUM(ET97:EV97),SUM(EW97:EY97)),0)</f>
        <v/>
      </c>
      <c r="EN97" t="n">
        <v>19486</v>
      </c>
      <c r="EO97" t="n">
        <v>4600</v>
      </c>
      <c r="EP97" t="n">
        <v>3327</v>
      </c>
      <c r="EQ97" t="n">
        <v>15061</v>
      </c>
      <c r="ER97" t="n">
        <v>12240</v>
      </c>
      <c r="ES97" t="n">
        <v>11513</v>
      </c>
      <c r="ET97" t="n">
        <v>3483</v>
      </c>
      <c r="EU97" t="n">
        <v>13950</v>
      </c>
      <c r="EV97" t="n">
        <v>13096</v>
      </c>
      <c r="EW97" t="n">
        <v>11281</v>
      </c>
      <c r="EX97" t="n">
        <v>17563</v>
      </c>
      <c r="EY97" t="n">
        <v>4794</v>
      </c>
    </row>
    <row r="98">
      <c r="B98" t="inlineStr">
        <is>
          <t>Assessoria Jurídica</t>
        </is>
      </c>
      <c r="C98">
        <f>IFERROR(CHOOSE(MATCH($B$6,{"Ano Completo","1º Semestre","2º Semestre","1º Trimestre","2º Trimestre","3º Trimestre","4º Trimestre"},0),SUM(D98:O98),SUM(D98:I98),SUM(J98:O98),SUM(D98:F98),SUM(G98:I98),SUM(J98:L98),SUM(M98:O98)),0)</f>
        <v/>
      </c>
      <c r="R98" t="inlineStr">
        <is>
          <t>Assessoria Jurídica</t>
        </is>
      </c>
      <c r="S98">
        <f>IFERROR(CHOOSE(MATCH($R$6,{"Ano Completo","1º Semestre","2º Semestre","1º Trimestre","2º Trimestre","3º Trimestre","4º Trimestre"},0),SUM(T98:AE98),SUM(T98:Y98),SUM(Z98:AE98),SUM(T98:V98),SUM(W98:Y98),SUM(Z98:AB98),SUM(AC98:AE98)),0)</f>
        <v/>
      </c>
      <c r="AG98" t="inlineStr">
        <is>
          <t>Assessoria Jurídica</t>
        </is>
      </c>
      <c r="AH98">
        <f>IFERROR(CHOOSE(MATCH($AG$6,{"Ano Completo","1º Semestre","2º Semestre","1º Trimestre","2º Trimestre","3º Trimestre","4º Trimestre"},0),SUM(AI98:AT98),SUM(AI98:AN98),SUM(AO98:AT98),SUM(AI98:AK98),SUM(AL98:AN98),SUM(AO98:AQ98),SUM(AR98:AT98)),0)</f>
        <v/>
      </c>
      <c r="AI98" t="n">
        <v>10483</v>
      </c>
      <c r="AJ98" t="n">
        <v>1249</v>
      </c>
      <c r="AK98" t="n">
        <v>19357</v>
      </c>
      <c r="AL98" t="n">
        <v>11015</v>
      </c>
      <c r="AM98" t="n">
        <v>7354</v>
      </c>
      <c r="AN98" t="n">
        <v>9394</v>
      </c>
      <c r="AO98" t="n">
        <v>18846</v>
      </c>
      <c r="AP98" t="n">
        <v>10086</v>
      </c>
      <c r="AQ98" t="n">
        <v>11104</v>
      </c>
      <c r="AR98" t="n">
        <v>7125</v>
      </c>
      <c r="AS98" t="n">
        <v>16252</v>
      </c>
      <c r="AT98" t="n">
        <v>11066</v>
      </c>
      <c r="AW98" t="inlineStr">
        <is>
          <t>Assessoria Jurídica</t>
        </is>
      </c>
      <c r="AX98">
        <f>IFERROR(CHOOSE(MATCH($AW$6,{"Ano Completo","1º Semestre","2º Semestre","1º Trimestre","2º Trimestre","3º Trimestre","4º Trimestre"},0),SUM(AY98:BJ98),SUM(AY98:BD98),SUM(BE98:BJ98),SUM(AY98:BA98),SUM(BB98:BD98),SUM(BE98:BG98),SUM(BH98:BJ98)),0)</f>
        <v/>
      </c>
      <c r="AY98" t="n">
        <v>14136</v>
      </c>
      <c r="AZ98" t="n">
        <v>17557</v>
      </c>
      <c r="BA98" t="n">
        <v>8683</v>
      </c>
      <c r="BB98" t="n">
        <v>13781</v>
      </c>
      <c r="BC98" t="n">
        <v>2977</v>
      </c>
      <c r="BD98" t="n">
        <v>19269</v>
      </c>
      <c r="BE98" t="n">
        <v>13330</v>
      </c>
      <c r="BF98" t="n">
        <v>16539</v>
      </c>
      <c r="BG98" t="n">
        <v>8344</v>
      </c>
      <c r="BH98" t="n">
        <v>8199</v>
      </c>
      <c r="BI98" t="n">
        <v>4415</v>
      </c>
      <c r="BJ98" t="n">
        <v>15537</v>
      </c>
      <c r="BL98" t="inlineStr">
        <is>
          <t>Assessoria Jurídica</t>
        </is>
      </c>
      <c r="BM98">
        <f>IFERROR(CHOOSE(MATCH($BL$6,{"Ano Completo","1º Semestre","2º Semestre","1º Trimestre","2º Trimestre","3º Trimestre","4º Trimestre"},0),SUM(BN98:BY98),SUM(BN98:BS98),SUM(BT98:BY98),SUM(BN98:BP98),SUM(BQ98:BS98),SUM(BT98:BV98),SUM(BW98:BY98)),0)</f>
        <v/>
      </c>
      <c r="BN98" t="n">
        <v>10483</v>
      </c>
      <c r="BO98" t="n">
        <v>1249</v>
      </c>
      <c r="BP98" t="n">
        <v>19357</v>
      </c>
      <c r="BQ98" t="n">
        <v>11015</v>
      </c>
      <c r="BR98" t="n">
        <v>7354</v>
      </c>
      <c r="BS98" t="n">
        <v>9394</v>
      </c>
      <c r="BT98" t="n">
        <v>18846</v>
      </c>
      <c r="BU98" t="n">
        <v>10086</v>
      </c>
      <c r="BV98" t="n">
        <v>11104</v>
      </c>
      <c r="BW98" t="n">
        <v>7125</v>
      </c>
      <c r="BX98" t="n">
        <v>16252</v>
      </c>
      <c r="BY98" t="n">
        <v>11066</v>
      </c>
      <c r="CB98" t="inlineStr">
        <is>
          <t>Assessoria Jurídica</t>
        </is>
      </c>
      <c r="CC98">
        <f>IFERROR(CHOOSE(MATCH($CB$6,{"Ano Completo","1º Semestre","2º Semestre","1º Trimestre","2º Trimestre","3º Trimestre","4º Trimestre"},0),SUM(CD98:CO98),SUM(CD98:CI98),SUM(CJ98:CO98),SUM(CD98:CF98),SUM(CG98:CI98),SUM(CJ98:CL98),SUM(CM98:CO98)),0)</f>
        <v/>
      </c>
      <c r="CD98" t="n">
        <v>14136</v>
      </c>
      <c r="CE98" t="n">
        <v>17557</v>
      </c>
      <c r="CF98" t="n">
        <v>8683</v>
      </c>
      <c r="CG98" t="n">
        <v>13781</v>
      </c>
      <c r="CH98" t="n">
        <v>2977</v>
      </c>
      <c r="CI98" t="n">
        <v>19269</v>
      </c>
      <c r="CJ98" t="n">
        <v>13330</v>
      </c>
      <c r="CK98" t="n">
        <v>16539</v>
      </c>
      <c r="CL98" t="n">
        <v>8344</v>
      </c>
      <c r="CM98" t="n">
        <v>8199</v>
      </c>
      <c r="CN98" t="n">
        <v>4415</v>
      </c>
      <c r="CO98" t="n">
        <v>15537</v>
      </c>
      <c r="CQ98" t="inlineStr">
        <is>
          <t>Assessoria Jurídica</t>
        </is>
      </c>
      <c r="CR98">
        <f>IFERROR(CHOOSE(MATCH($CQ$6,{"Ano Completo","1º Semestre","2º Semestre","1º Trimestre","2º Trimestre","3º Trimestre","4º Trimestre"},0),SUM(CS98:DD98),SUM(CS98:CX98),SUM(CY98:DD98),SUM(CS98:CU98),SUM(CV98:CX98),SUM(CY98:DA98),SUM(DB98:DD98)),0)</f>
        <v/>
      </c>
      <c r="CS98" t="n">
        <v>10483</v>
      </c>
      <c r="CT98" t="n">
        <v>1249</v>
      </c>
      <c r="CU98" t="n">
        <v>19357</v>
      </c>
      <c r="CV98" t="n">
        <v>11015</v>
      </c>
      <c r="CW98" t="n">
        <v>7354</v>
      </c>
      <c r="CX98" t="n">
        <v>9394</v>
      </c>
      <c r="CY98" t="n">
        <v>18846</v>
      </c>
      <c r="CZ98" t="n">
        <v>10086</v>
      </c>
      <c r="DA98" t="n">
        <v>11104</v>
      </c>
      <c r="DB98" t="n">
        <v>7125</v>
      </c>
      <c r="DC98" t="n">
        <v>16252</v>
      </c>
      <c r="DD98" t="n">
        <v>11066</v>
      </c>
      <c r="DG98" t="inlineStr">
        <is>
          <t>Assessoria Jurídica</t>
        </is>
      </c>
      <c r="DH98">
        <f>IFERROR(CHOOSE(MATCH($DG$6,{"Ano Completo","1º Semestre","2º Semestre","1º Trimestre","2º Trimestre","3º Trimestre","4º Trimestre"},0),SUM(DI98:DT98),SUM(DI98:DN98),SUM(DO98:DT98),SUM(DI98:DK98),SUM(DL98:DN98),SUM(DO98:DQ98),SUM(DR98:DT98)),0)</f>
        <v/>
      </c>
      <c r="DI98" t="n">
        <v>14136</v>
      </c>
      <c r="DJ98" t="n">
        <v>17557</v>
      </c>
      <c r="DK98" t="n">
        <v>8683</v>
      </c>
      <c r="DL98" t="n">
        <v>13781</v>
      </c>
      <c r="DM98" t="n">
        <v>2977</v>
      </c>
      <c r="DN98" t="n">
        <v>19269</v>
      </c>
      <c r="DO98" t="n">
        <v>13330</v>
      </c>
      <c r="DP98" t="n">
        <v>16539</v>
      </c>
      <c r="DQ98" t="n">
        <v>8344</v>
      </c>
      <c r="DR98" t="n">
        <v>8199</v>
      </c>
      <c r="DS98" t="n">
        <v>4415</v>
      </c>
      <c r="DT98" t="n">
        <v>15537</v>
      </c>
      <c r="DV98" t="inlineStr">
        <is>
          <t>Assessoria Jurídica</t>
        </is>
      </c>
      <c r="DW98">
        <f>IFERROR(CHOOSE(MATCH($DV$6,{"Ano Completo","1º Semestre","2º Semestre","1º Trimestre","2º Trimestre","3º Trimestre","4º Trimestre"},0),SUM(DX98:EI98),SUM(DX98:EC98),SUM(ED98:EI98),SUM(DX98:DZ98),SUM(EA98:EC98),SUM(ED98:EF98),SUM(EG98:EI98)),0)</f>
        <v/>
      </c>
      <c r="DX98" t="n">
        <v>10483</v>
      </c>
      <c r="DY98" t="n">
        <v>1249</v>
      </c>
      <c r="DZ98" t="n">
        <v>19357</v>
      </c>
      <c r="EA98" t="n">
        <v>11015</v>
      </c>
      <c r="EB98" t="n">
        <v>7354</v>
      </c>
      <c r="EC98" t="n">
        <v>9394</v>
      </c>
      <c r="ED98" t="n">
        <v>18846</v>
      </c>
      <c r="EE98" t="n">
        <v>10086</v>
      </c>
      <c r="EF98" t="n">
        <v>11104</v>
      </c>
      <c r="EG98" t="n">
        <v>7125</v>
      </c>
      <c r="EH98" t="n">
        <v>16252</v>
      </c>
      <c r="EI98" t="n">
        <v>11066</v>
      </c>
      <c r="EL98" t="inlineStr">
        <is>
          <t>Assessoria Jurídica</t>
        </is>
      </c>
      <c r="EM98">
        <f>IFERROR(CHOOSE(MATCH($EL$6,{"Ano Completo","1º Semestre","2º Semestre","1º Trimestre","2º Trimestre","3º Trimestre","4º Trimestre"},0),SUM(EN98:EY98),SUM(EN98:ES98),SUM(ET98:EY98),SUM(EN98:EP98),SUM(EQ98:ES98),SUM(ET98:EV98),SUM(EW98:EY98)),0)</f>
        <v/>
      </c>
      <c r="EN98" t="n">
        <v>14136</v>
      </c>
      <c r="EO98" t="n">
        <v>17557</v>
      </c>
      <c r="EP98" t="n">
        <v>8683</v>
      </c>
      <c r="EQ98" t="n">
        <v>13781</v>
      </c>
      <c r="ER98" t="n">
        <v>2977</v>
      </c>
      <c r="ES98" t="n">
        <v>19269</v>
      </c>
      <c r="ET98" t="n">
        <v>13330</v>
      </c>
      <c r="EU98" t="n">
        <v>16539</v>
      </c>
      <c r="EV98" t="n">
        <v>8344</v>
      </c>
      <c r="EW98" t="n">
        <v>8199</v>
      </c>
      <c r="EX98" t="n">
        <v>4415</v>
      </c>
      <c r="EY98" t="n">
        <v>15537</v>
      </c>
    </row>
    <row r="99">
      <c r="B99" t="inlineStr">
        <is>
          <t>Auditoria</t>
        </is>
      </c>
      <c r="C99">
        <f>IFERROR(CHOOSE(MATCH($B$6,{"Ano Completo","1º Semestre","2º Semestre","1º Trimestre","2º Trimestre","3º Trimestre","4º Trimestre"},0),SUM(D99:O99),SUM(D99:I99),SUM(J99:O99),SUM(D99:F99),SUM(G99:I99),SUM(J99:L99),SUM(M99:O99)),0)</f>
        <v/>
      </c>
      <c r="R99" t="inlineStr">
        <is>
          <t>Auditoria</t>
        </is>
      </c>
      <c r="S99">
        <f>IFERROR(CHOOSE(MATCH($R$6,{"Ano Completo","1º Semestre","2º Semestre","1º Trimestre","2º Trimestre","3º Trimestre","4º Trimestre"},0),SUM(T99:AE99),SUM(T99:Y99),SUM(Z99:AE99),SUM(T99:V99),SUM(W99:Y99),SUM(Z99:AB99),SUM(AC99:AE99)),0)</f>
        <v/>
      </c>
      <c r="AG99" t="inlineStr">
        <is>
          <t>Auditoria</t>
        </is>
      </c>
      <c r="AH99">
        <f>IFERROR(CHOOSE(MATCH($AG$6,{"Ano Completo","1º Semestre","2º Semestre","1º Trimestre","2º Trimestre","3º Trimestre","4º Trimestre"},0),SUM(AI99:AT99),SUM(AI99:AN99),SUM(AO99:AT99),SUM(AI99:AK99),SUM(AL99:AN99),SUM(AO99:AQ99),SUM(AR99:AT99)),0)</f>
        <v/>
      </c>
      <c r="AI99" t="n">
        <v>16281</v>
      </c>
      <c r="AJ99" t="n">
        <v>14677</v>
      </c>
      <c r="AK99" t="n">
        <v>5938</v>
      </c>
      <c r="AL99" t="n">
        <v>8978</v>
      </c>
      <c r="AM99" t="n">
        <v>1089</v>
      </c>
      <c r="AN99" t="n">
        <v>3604</v>
      </c>
      <c r="AO99" t="n">
        <v>10921</v>
      </c>
      <c r="AP99" t="n">
        <v>16779</v>
      </c>
      <c r="AQ99" t="n">
        <v>3830</v>
      </c>
      <c r="AR99" t="n">
        <v>5289</v>
      </c>
      <c r="AS99" t="n">
        <v>2781</v>
      </c>
      <c r="AT99" t="n">
        <v>7260</v>
      </c>
      <c r="AW99" t="inlineStr">
        <is>
          <t>Auditoria</t>
        </is>
      </c>
      <c r="AX99">
        <f>IFERROR(CHOOSE(MATCH($AW$6,{"Ano Completo","1º Semestre","2º Semestre","1º Trimestre","2º Trimestre","3º Trimestre","4º Trimestre"},0),SUM(AY99:BJ99),SUM(AY99:BD99),SUM(BE99:BJ99),SUM(AY99:BA99),SUM(BB99:BD99),SUM(BE99:BG99),SUM(BH99:BJ99)),0)</f>
        <v/>
      </c>
      <c r="AY99" t="n">
        <v>6897</v>
      </c>
      <c r="AZ99" t="n">
        <v>19582</v>
      </c>
      <c r="BA99" t="n">
        <v>12695</v>
      </c>
      <c r="BB99" t="n">
        <v>6857</v>
      </c>
      <c r="BC99" t="n">
        <v>15115</v>
      </c>
      <c r="BD99" t="n">
        <v>3511</v>
      </c>
      <c r="BE99" t="n">
        <v>6456</v>
      </c>
      <c r="BF99" t="n">
        <v>16315</v>
      </c>
      <c r="BG99" t="n">
        <v>18240</v>
      </c>
      <c r="BH99" t="n">
        <v>18170</v>
      </c>
      <c r="BI99" t="n">
        <v>12213</v>
      </c>
      <c r="BJ99" t="n">
        <v>1616</v>
      </c>
      <c r="BL99" t="inlineStr">
        <is>
          <t>Auditoria</t>
        </is>
      </c>
      <c r="BM99">
        <f>IFERROR(CHOOSE(MATCH($BL$6,{"Ano Completo","1º Semestre","2º Semestre","1º Trimestre","2º Trimestre","3º Trimestre","4º Trimestre"},0),SUM(BN99:BY99),SUM(BN99:BS99),SUM(BT99:BY99),SUM(BN99:BP99),SUM(BQ99:BS99),SUM(BT99:BV99),SUM(BW99:BY99)),0)</f>
        <v/>
      </c>
      <c r="BN99" t="n">
        <v>16281</v>
      </c>
      <c r="BO99" t="n">
        <v>14677</v>
      </c>
      <c r="BP99" t="n">
        <v>5938</v>
      </c>
      <c r="BQ99" t="n">
        <v>8978</v>
      </c>
      <c r="BR99" t="n">
        <v>1089</v>
      </c>
      <c r="BS99" t="n">
        <v>3604</v>
      </c>
      <c r="BT99" t="n">
        <v>10921</v>
      </c>
      <c r="BU99" t="n">
        <v>16779</v>
      </c>
      <c r="BV99" t="n">
        <v>3830</v>
      </c>
      <c r="BW99" t="n">
        <v>5289</v>
      </c>
      <c r="BX99" t="n">
        <v>2781</v>
      </c>
      <c r="BY99" t="n">
        <v>7260</v>
      </c>
      <c r="CB99" t="inlineStr">
        <is>
          <t>Auditoria</t>
        </is>
      </c>
      <c r="CC99">
        <f>IFERROR(CHOOSE(MATCH($CB$6,{"Ano Completo","1º Semestre","2º Semestre","1º Trimestre","2º Trimestre","3º Trimestre","4º Trimestre"},0),SUM(CD99:CO99),SUM(CD99:CI99),SUM(CJ99:CO99),SUM(CD99:CF99),SUM(CG99:CI99),SUM(CJ99:CL99),SUM(CM99:CO99)),0)</f>
        <v/>
      </c>
      <c r="CD99" t="n">
        <v>6897</v>
      </c>
      <c r="CE99" t="n">
        <v>19582</v>
      </c>
      <c r="CF99" t="n">
        <v>12695</v>
      </c>
      <c r="CG99" t="n">
        <v>6857</v>
      </c>
      <c r="CH99" t="n">
        <v>15115</v>
      </c>
      <c r="CI99" t="n">
        <v>3511</v>
      </c>
      <c r="CJ99" t="n">
        <v>6456</v>
      </c>
      <c r="CK99" t="n">
        <v>16315</v>
      </c>
      <c r="CL99" t="n">
        <v>18240</v>
      </c>
      <c r="CM99" t="n">
        <v>18170</v>
      </c>
      <c r="CN99" t="n">
        <v>12213</v>
      </c>
      <c r="CO99" t="n">
        <v>1616</v>
      </c>
      <c r="CQ99" t="inlineStr">
        <is>
          <t>Auditoria</t>
        </is>
      </c>
      <c r="CR99">
        <f>IFERROR(CHOOSE(MATCH($CQ$6,{"Ano Completo","1º Semestre","2º Semestre","1º Trimestre","2º Trimestre","3º Trimestre","4º Trimestre"},0),SUM(CS99:DD99),SUM(CS99:CX99),SUM(CY99:DD99),SUM(CS99:CU99),SUM(CV99:CX99),SUM(CY99:DA99),SUM(DB99:DD99)),0)</f>
        <v/>
      </c>
      <c r="CS99" t="n">
        <v>16281</v>
      </c>
      <c r="CT99" t="n">
        <v>14677</v>
      </c>
      <c r="CU99" t="n">
        <v>5938</v>
      </c>
      <c r="CV99" t="n">
        <v>8978</v>
      </c>
      <c r="CW99" t="n">
        <v>1089</v>
      </c>
      <c r="CX99" t="n">
        <v>3604</v>
      </c>
      <c r="CY99" t="n">
        <v>10921</v>
      </c>
      <c r="CZ99" t="n">
        <v>16779</v>
      </c>
      <c r="DA99" t="n">
        <v>3830</v>
      </c>
      <c r="DB99" t="n">
        <v>5289</v>
      </c>
      <c r="DC99" t="n">
        <v>2781</v>
      </c>
      <c r="DD99" t="n">
        <v>7260</v>
      </c>
      <c r="DG99" t="inlineStr">
        <is>
          <t>Auditoria</t>
        </is>
      </c>
      <c r="DH99">
        <f>IFERROR(CHOOSE(MATCH($DG$6,{"Ano Completo","1º Semestre","2º Semestre","1º Trimestre","2º Trimestre","3º Trimestre","4º Trimestre"},0),SUM(DI99:DT99),SUM(DI99:DN99),SUM(DO99:DT99),SUM(DI99:DK99),SUM(DL99:DN99),SUM(DO99:DQ99),SUM(DR99:DT99)),0)</f>
        <v/>
      </c>
      <c r="DI99" t="n">
        <v>6897</v>
      </c>
      <c r="DJ99" t="n">
        <v>19582</v>
      </c>
      <c r="DK99" t="n">
        <v>12695</v>
      </c>
      <c r="DL99" t="n">
        <v>6857</v>
      </c>
      <c r="DM99" t="n">
        <v>15115</v>
      </c>
      <c r="DN99" t="n">
        <v>3511</v>
      </c>
      <c r="DO99" t="n">
        <v>6456</v>
      </c>
      <c r="DP99" t="n">
        <v>16315</v>
      </c>
      <c r="DQ99" t="n">
        <v>18240</v>
      </c>
      <c r="DR99" t="n">
        <v>18170</v>
      </c>
      <c r="DS99" t="n">
        <v>12213</v>
      </c>
      <c r="DT99" t="n">
        <v>1616</v>
      </c>
      <c r="DV99" t="inlineStr">
        <is>
          <t>Auditoria</t>
        </is>
      </c>
      <c r="DW99">
        <f>IFERROR(CHOOSE(MATCH($DV$6,{"Ano Completo","1º Semestre","2º Semestre","1º Trimestre","2º Trimestre","3º Trimestre","4º Trimestre"},0),SUM(DX99:EI99),SUM(DX99:EC99),SUM(ED99:EI99),SUM(DX99:DZ99),SUM(EA99:EC99),SUM(ED99:EF99),SUM(EG99:EI99)),0)</f>
        <v/>
      </c>
      <c r="DX99" t="n">
        <v>16281</v>
      </c>
      <c r="DY99" t="n">
        <v>14677</v>
      </c>
      <c r="DZ99" t="n">
        <v>5938</v>
      </c>
      <c r="EA99" t="n">
        <v>8978</v>
      </c>
      <c r="EB99" t="n">
        <v>1089</v>
      </c>
      <c r="EC99" t="n">
        <v>3604</v>
      </c>
      <c r="ED99" t="n">
        <v>10921</v>
      </c>
      <c r="EE99" t="n">
        <v>16779</v>
      </c>
      <c r="EF99" t="n">
        <v>3830</v>
      </c>
      <c r="EG99" t="n">
        <v>5289</v>
      </c>
      <c r="EH99" t="n">
        <v>2781</v>
      </c>
      <c r="EI99" t="n">
        <v>7260</v>
      </c>
      <c r="EL99" t="inlineStr">
        <is>
          <t>Auditoria</t>
        </is>
      </c>
      <c r="EM99">
        <f>IFERROR(CHOOSE(MATCH($EL$6,{"Ano Completo","1º Semestre","2º Semestre","1º Trimestre","2º Trimestre","3º Trimestre","4º Trimestre"},0),SUM(EN99:EY99),SUM(EN99:ES99),SUM(ET99:EY99),SUM(EN99:EP99),SUM(EQ99:ES99),SUM(ET99:EV99),SUM(EW99:EY99)),0)</f>
        <v/>
      </c>
      <c r="EN99" t="n">
        <v>6897</v>
      </c>
      <c r="EO99" t="n">
        <v>19582</v>
      </c>
      <c r="EP99" t="n">
        <v>12695</v>
      </c>
      <c r="EQ99" t="n">
        <v>6857</v>
      </c>
      <c r="ER99" t="n">
        <v>15115</v>
      </c>
      <c r="ES99" t="n">
        <v>3511</v>
      </c>
      <c r="ET99" t="n">
        <v>6456</v>
      </c>
      <c r="EU99" t="n">
        <v>16315</v>
      </c>
      <c r="EV99" t="n">
        <v>18240</v>
      </c>
      <c r="EW99" t="n">
        <v>18170</v>
      </c>
      <c r="EX99" t="n">
        <v>12213</v>
      </c>
      <c r="EY99" t="n">
        <v>1616</v>
      </c>
    </row>
    <row r="100">
      <c r="B100" t="inlineStr">
        <is>
          <t>Correios</t>
        </is>
      </c>
      <c r="C100">
        <f>IFERROR(CHOOSE(MATCH($B$6,{"Ano Completo","1º Semestre","2º Semestre","1º Trimestre","2º Trimestre","3º Trimestre","4º Trimestre"},0),SUM(D100:O100),SUM(D100:I100),SUM(J100:O100),SUM(D100:F100),SUM(G100:I100),SUM(J100:L100),SUM(M100:O100)),0)</f>
        <v/>
      </c>
      <c r="R100" t="inlineStr">
        <is>
          <t>Correios</t>
        </is>
      </c>
      <c r="S100">
        <f>IFERROR(CHOOSE(MATCH($R$6,{"Ano Completo","1º Semestre","2º Semestre","1º Trimestre","2º Trimestre","3º Trimestre","4º Trimestre"},0),SUM(T100:AE100),SUM(T100:Y100),SUM(Z100:AE100),SUM(T100:V100),SUM(W100:Y100),SUM(Z100:AB100),SUM(AC100:AE100)),0)</f>
        <v/>
      </c>
      <c r="AG100" t="inlineStr">
        <is>
          <t>Correios</t>
        </is>
      </c>
      <c r="AH100">
        <f>IFERROR(CHOOSE(MATCH($AG$6,{"Ano Completo","1º Semestre","2º Semestre","1º Trimestre","2º Trimestre","3º Trimestre","4º Trimestre"},0),SUM(AI100:AT100),SUM(AI100:AN100),SUM(AO100:AT100),SUM(AI100:AK100),SUM(AL100:AN100),SUM(AO100:AQ100),SUM(AR100:AT100)),0)</f>
        <v/>
      </c>
      <c r="AI100" t="n">
        <v>15612</v>
      </c>
      <c r="AJ100" t="n">
        <v>12666</v>
      </c>
      <c r="AK100" t="n">
        <v>6751</v>
      </c>
      <c r="AL100" t="n">
        <v>19614</v>
      </c>
      <c r="AM100" t="n">
        <v>3443</v>
      </c>
      <c r="AN100" t="n">
        <v>5172</v>
      </c>
      <c r="AO100" t="n">
        <v>3863</v>
      </c>
      <c r="AP100" t="n">
        <v>8688</v>
      </c>
      <c r="AQ100" t="n">
        <v>10849</v>
      </c>
      <c r="AR100" t="n">
        <v>2563</v>
      </c>
      <c r="AS100" t="n">
        <v>3893</v>
      </c>
      <c r="AT100" t="n">
        <v>17474</v>
      </c>
      <c r="AW100" t="inlineStr">
        <is>
          <t>Correios</t>
        </is>
      </c>
      <c r="AX100">
        <f>IFERROR(CHOOSE(MATCH($AW$6,{"Ano Completo","1º Semestre","2º Semestre","1º Trimestre","2º Trimestre","3º Trimestre","4º Trimestre"},0),SUM(AY100:BJ100),SUM(AY100:BD100),SUM(BE100:BJ100),SUM(AY100:BA100),SUM(BB100:BD100),SUM(BE100:BG100),SUM(BH100:BJ100)),0)</f>
        <v/>
      </c>
      <c r="AY100" t="n">
        <v>18541</v>
      </c>
      <c r="AZ100" t="n">
        <v>3161</v>
      </c>
      <c r="BA100" t="n">
        <v>12273</v>
      </c>
      <c r="BB100" t="n">
        <v>7723</v>
      </c>
      <c r="BC100" t="n">
        <v>3883</v>
      </c>
      <c r="BD100" t="n">
        <v>17941</v>
      </c>
      <c r="BE100" t="n">
        <v>2020</v>
      </c>
      <c r="BF100" t="n">
        <v>15730</v>
      </c>
      <c r="BG100" t="n">
        <v>19841</v>
      </c>
      <c r="BH100" t="n">
        <v>9017</v>
      </c>
      <c r="BI100" t="n">
        <v>1666</v>
      </c>
      <c r="BJ100" t="n">
        <v>10235</v>
      </c>
      <c r="BL100" t="inlineStr">
        <is>
          <t>Correios</t>
        </is>
      </c>
      <c r="BM100">
        <f>IFERROR(CHOOSE(MATCH($BL$6,{"Ano Completo","1º Semestre","2º Semestre","1º Trimestre","2º Trimestre","3º Trimestre","4º Trimestre"},0),SUM(BN100:BY100),SUM(BN100:BS100),SUM(BT100:BY100),SUM(BN100:BP100),SUM(BQ100:BS100),SUM(BT100:BV100),SUM(BW100:BY100)),0)</f>
        <v/>
      </c>
      <c r="BN100" t="n">
        <v>15612</v>
      </c>
      <c r="BO100" t="n">
        <v>12666</v>
      </c>
      <c r="BP100" t="n">
        <v>6751</v>
      </c>
      <c r="BQ100" t="n">
        <v>19614</v>
      </c>
      <c r="BR100" t="n">
        <v>3443</v>
      </c>
      <c r="BS100" t="n">
        <v>5172</v>
      </c>
      <c r="BT100" t="n">
        <v>3863</v>
      </c>
      <c r="BU100" t="n">
        <v>8688</v>
      </c>
      <c r="BV100" t="n">
        <v>10849</v>
      </c>
      <c r="BW100" t="n">
        <v>2563</v>
      </c>
      <c r="BX100" t="n">
        <v>3893</v>
      </c>
      <c r="BY100" t="n">
        <v>17474</v>
      </c>
      <c r="CB100" t="inlineStr">
        <is>
          <t>Correios</t>
        </is>
      </c>
      <c r="CC100">
        <f>IFERROR(CHOOSE(MATCH($CB$6,{"Ano Completo","1º Semestre","2º Semestre","1º Trimestre","2º Trimestre","3º Trimestre","4º Trimestre"},0),SUM(CD100:CO100),SUM(CD100:CI100),SUM(CJ100:CO100),SUM(CD100:CF100),SUM(CG100:CI100),SUM(CJ100:CL100),SUM(CM100:CO100)),0)</f>
        <v/>
      </c>
      <c r="CD100" t="n">
        <v>18541</v>
      </c>
      <c r="CE100" t="n">
        <v>3161</v>
      </c>
      <c r="CF100" t="n">
        <v>12273</v>
      </c>
      <c r="CG100" t="n">
        <v>7723</v>
      </c>
      <c r="CH100" t="n">
        <v>3883</v>
      </c>
      <c r="CI100" t="n">
        <v>17941</v>
      </c>
      <c r="CJ100" t="n">
        <v>2020</v>
      </c>
      <c r="CK100" t="n">
        <v>15730</v>
      </c>
      <c r="CL100" t="n">
        <v>19841</v>
      </c>
      <c r="CM100" t="n">
        <v>9017</v>
      </c>
      <c r="CN100" t="n">
        <v>1666</v>
      </c>
      <c r="CO100" t="n">
        <v>10235</v>
      </c>
      <c r="CQ100" t="inlineStr">
        <is>
          <t>Correios</t>
        </is>
      </c>
      <c r="CR100">
        <f>IFERROR(CHOOSE(MATCH($CQ$6,{"Ano Completo","1º Semestre","2º Semestre","1º Trimestre","2º Trimestre","3º Trimestre","4º Trimestre"},0),SUM(CS100:DD100),SUM(CS100:CX100),SUM(CY100:DD100),SUM(CS100:CU100),SUM(CV100:CX100),SUM(CY100:DA100),SUM(DB100:DD100)),0)</f>
        <v/>
      </c>
      <c r="CS100" t="n">
        <v>15612</v>
      </c>
      <c r="CT100" t="n">
        <v>12666</v>
      </c>
      <c r="CU100" t="n">
        <v>6751</v>
      </c>
      <c r="CV100" t="n">
        <v>19614</v>
      </c>
      <c r="CW100" t="n">
        <v>3443</v>
      </c>
      <c r="CX100" t="n">
        <v>5172</v>
      </c>
      <c r="CY100" t="n">
        <v>3863</v>
      </c>
      <c r="CZ100" t="n">
        <v>8688</v>
      </c>
      <c r="DA100" t="n">
        <v>10849</v>
      </c>
      <c r="DB100" t="n">
        <v>2563</v>
      </c>
      <c r="DC100" t="n">
        <v>3893</v>
      </c>
      <c r="DD100" t="n">
        <v>17474</v>
      </c>
      <c r="DG100" t="inlineStr">
        <is>
          <t>Correios</t>
        </is>
      </c>
      <c r="DH100">
        <f>IFERROR(CHOOSE(MATCH($DG$6,{"Ano Completo","1º Semestre","2º Semestre","1º Trimestre","2º Trimestre","3º Trimestre","4º Trimestre"},0),SUM(DI100:DT100),SUM(DI100:DN100),SUM(DO100:DT100),SUM(DI100:DK100),SUM(DL100:DN100),SUM(DO100:DQ100),SUM(DR100:DT100)),0)</f>
        <v/>
      </c>
      <c r="DI100" t="n">
        <v>18541</v>
      </c>
      <c r="DJ100" t="n">
        <v>3161</v>
      </c>
      <c r="DK100" t="n">
        <v>12273</v>
      </c>
      <c r="DL100" t="n">
        <v>7723</v>
      </c>
      <c r="DM100" t="n">
        <v>3883</v>
      </c>
      <c r="DN100" t="n">
        <v>17941</v>
      </c>
      <c r="DO100" t="n">
        <v>2020</v>
      </c>
      <c r="DP100" t="n">
        <v>15730</v>
      </c>
      <c r="DQ100" t="n">
        <v>19841</v>
      </c>
      <c r="DR100" t="n">
        <v>9017</v>
      </c>
      <c r="DS100" t="n">
        <v>1666</v>
      </c>
      <c r="DT100" t="n">
        <v>10235</v>
      </c>
      <c r="DV100" t="inlineStr">
        <is>
          <t>Correios</t>
        </is>
      </c>
      <c r="DW100">
        <f>IFERROR(CHOOSE(MATCH($DV$6,{"Ano Completo","1º Semestre","2º Semestre","1º Trimestre","2º Trimestre","3º Trimestre","4º Trimestre"},0),SUM(DX100:EI100),SUM(DX100:EC100),SUM(ED100:EI100),SUM(DX100:DZ100),SUM(EA100:EC100),SUM(ED100:EF100),SUM(EG100:EI100)),0)</f>
        <v/>
      </c>
      <c r="DX100" t="n">
        <v>15612</v>
      </c>
      <c r="DY100" t="n">
        <v>12666</v>
      </c>
      <c r="DZ100" t="n">
        <v>6751</v>
      </c>
      <c r="EA100" t="n">
        <v>19614</v>
      </c>
      <c r="EB100" t="n">
        <v>3443</v>
      </c>
      <c r="EC100" t="n">
        <v>5172</v>
      </c>
      <c r="ED100" t="n">
        <v>3863</v>
      </c>
      <c r="EE100" t="n">
        <v>8688</v>
      </c>
      <c r="EF100" t="n">
        <v>10849</v>
      </c>
      <c r="EG100" t="n">
        <v>2563</v>
      </c>
      <c r="EH100" t="n">
        <v>3893</v>
      </c>
      <c r="EI100" t="n">
        <v>17474</v>
      </c>
      <c r="EL100" t="inlineStr">
        <is>
          <t>Correios</t>
        </is>
      </c>
      <c r="EM100">
        <f>IFERROR(CHOOSE(MATCH($EL$6,{"Ano Completo","1º Semestre","2º Semestre","1º Trimestre","2º Trimestre","3º Trimestre","4º Trimestre"},0),SUM(EN100:EY100),SUM(EN100:ES100),SUM(ET100:EY100),SUM(EN100:EP100),SUM(EQ100:ES100),SUM(ET100:EV100),SUM(EW100:EY100)),0)</f>
        <v/>
      </c>
      <c r="EN100" t="n">
        <v>18541</v>
      </c>
      <c r="EO100" t="n">
        <v>3161</v>
      </c>
      <c r="EP100" t="n">
        <v>12273</v>
      </c>
      <c r="EQ100" t="n">
        <v>7723</v>
      </c>
      <c r="ER100" t="n">
        <v>3883</v>
      </c>
      <c r="ES100" t="n">
        <v>17941</v>
      </c>
      <c r="ET100" t="n">
        <v>2020</v>
      </c>
      <c r="EU100" t="n">
        <v>15730</v>
      </c>
      <c r="EV100" t="n">
        <v>19841</v>
      </c>
      <c r="EW100" t="n">
        <v>9017</v>
      </c>
      <c r="EX100" t="n">
        <v>1666</v>
      </c>
      <c r="EY100" t="n">
        <v>10235</v>
      </c>
    </row>
    <row r="101">
      <c r="B101" t="inlineStr">
        <is>
          <t>Pesquisa</t>
        </is>
      </c>
      <c r="C101">
        <f>IFERROR(CHOOSE(MATCH($B$6,{"Ano Completo","1º Semestre","2º Semestre","1º Trimestre","2º Trimestre","3º Trimestre","4º Trimestre"},0),SUM(D101:O101),SUM(D101:I101),SUM(J101:O101),SUM(D101:F101),SUM(G101:I101),SUM(J101:L101),SUM(M101:O101)),0)</f>
        <v/>
      </c>
      <c r="R101" t="inlineStr">
        <is>
          <t>Pesquisa</t>
        </is>
      </c>
      <c r="S101">
        <f>IFERROR(CHOOSE(MATCH($R$6,{"Ano Completo","1º Semestre","2º Semestre","1º Trimestre","2º Trimestre","3º Trimestre","4º Trimestre"},0),SUM(T101:AE101),SUM(T101:Y101),SUM(Z101:AE101),SUM(T101:V101),SUM(W101:Y101),SUM(Z101:AB101),SUM(AC101:AE101)),0)</f>
        <v/>
      </c>
      <c r="AG101" t="inlineStr">
        <is>
          <t>Pesquisa</t>
        </is>
      </c>
      <c r="AH101">
        <f>IFERROR(CHOOSE(MATCH($AG$6,{"Ano Completo","1º Semestre","2º Semestre","1º Trimestre","2º Trimestre","3º Trimestre","4º Trimestre"},0),SUM(AI101:AT101),SUM(AI101:AN101),SUM(AO101:AT101),SUM(AI101:AK101),SUM(AL101:AN101),SUM(AO101:AQ101),SUM(AR101:AT101)),0)</f>
        <v/>
      </c>
      <c r="AI101" t="n">
        <v>2428</v>
      </c>
      <c r="AJ101" t="n">
        <v>19758</v>
      </c>
      <c r="AK101" t="n">
        <v>10699</v>
      </c>
      <c r="AL101" t="n">
        <v>4226</v>
      </c>
      <c r="AM101" t="n">
        <v>9990</v>
      </c>
      <c r="AN101" t="n">
        <v>17607</v>
      </c>
      <c r="AO101" t="n">
        <v>3835</v>
      </c>
      <c r="AP101" t="n">
        <v>12431</v>
      </c>
      <c r="AQ101" t="n">
        <v>9371</v>
      </c>
      <c r="AR101" t="n">
        <v>14005</v>
      </c>
      <c r="AS101" t="n">
        <v>14819</v>
      </c>
      <c r="AT101" t="n">
        <v>15799</v>
      </c>
      <c r="AW101" t="inlineStr">
        <is>
          <t>Pesquisa</t>
        </is>
      </c>
      <c r="AX101">
        <f>IFERROR(CHOOSE(MATCH($AW$6,{"Ano Completo","1º Semestre","2º Semestre","1º Trimestre","2º Trimestre","3º Trimestre","4º Trimestre"},0),SUM(AY101:BJ101),SUM(AY101:BD101),SUM(BE101:BJ101),SUM(AY101:BA101),SUM(BB101:BD101),SUM(BE101:BG101),SUM(BH101:BJ101)),0)</f>
        <v/>
      </c>
      <c r="AY101" t="n">
        <v>18174</v>
      </c>
      <c r="AZ101" t="n">
        <v>15503</v>
      </c>
      <c r="BA101" t="n">
        <v>3863</v>
      </c>
      <c r="BB101" t="n">
        <v>17887</v>
      </c>
      <c r="BC101" t="n">
        <v>1518</v>
      </c>
      <c r="BD101" t="n">
        <v>10412</v>
      </c>
      <c r="BE101" t="n">
        <v>12309</v>
      </c>
      <c r="BF101" t="n">
        <v>7795</v>
      </c>
      <c r="BG101" t="n">
        <v>2735</v>
      </c>
      <c r="BH101" t="n">
        <v>18767</v>
      </c>
      <c r="BI101" t="n">
        <v>16169</v>
      </c>
      <c r="BJ101" t="n">
        <v>16088</v>
      </c>
      <c r="BL101" t="inlineStr">
        <is>
          <t>Pesquisa</t>
        </is>
      </c>
      <c r="BM101">
        <f>IFERROR(CHOOSE(MATCH($BL$6,{"Ano Completo","1º Semestre","2º Semestre","1º Trimestre","2º Trimestre","3º Trimestre","4º Trimestre"},0),SUM(BN101:BY101),SUM(BN101:BS101),SUM(BT101:BY101),SUM(BN101:BP101),SUM(BQ101:BS101),SUM(BT101:BV101),SUM(BW101:BY101)),0)</f>
        <v/>
      </c>
      <c r="BN101" t="n">
        <v>2428</v>
      </c>
      <c r="BO101" t="n">
        <v>19758</v>
      </c>
      <c r="BP101" t="n">
        <v>10699</v>
      </c>
      <c r="BQ101" t="n">
        <v>4226</v>
      </c>
      <c r="BR101" t="n">
        <v>9990</v>
      </c>
      <c r="BS101" t="n">
        <v>17607</v>
      </c>
      <c r="BT101" t="n">
        <v>3835</v>
      </c>
      <c r="BU101" t="n">
        <v>12431</v>
      </c>
      <c r="BV101" t="n">
        <v>9371</v>
      </c>
      <c r="BW101" t="n">
        <v>14005</v>
      </c>
      <c r="BX101" t="n">
        <v>14819</v>
      </c>
      <c r="BY101" t="n">
        <v>15799</v>
      </c>
      <c r="CB101" t="inlineStr">
        <is>
          <t>Pesquisa</t>
        </is>
      </c>
      <c r="CC101">
        <f>IFERROR(CHOOSE(MATCH($CB$6,{"Ano Completo","1º Semestre","2º Semestre","1º Trimestre","2º Trimestre","3º Trimestre","4º Trimestre"},0),SUM(CD101:CO101),SUM(CD101:CI101),SUM(CJ101:CO101),SUM(CD101:CF101),SUM(CG101:CI101),SUM(CJ101:CL101),SUM(CM101:CO101)),0)</f>
        <v/>
      </c>
      <c r="CD101" t="n">
        <v>18174</v>
      </c>
      <c r="CE101" t="n">
        <v>15503</v>
      </c>
      <c r="CF101" t="n">
        <v>3863</v>
      </c>
      <c r="CG101" t="n">
        <v>17887</v>
      </c>
      <c r="CH101" t="n">
        <v>1518</v>
      </c>
      <c r="CI101" t="n">
        <v>10412</v>
      </c>
      <c r="CJ101" t="n">
        <v>12309</v>
      </c>
      <c r="CK101" t="n">
        <v>7795</v>
      </c>
      <c r="CL101" t="n">
        <v>2735</v>
      </c>
      <c r="CM101" t="n">
        <v>18767</v>
      </c>
      <c r="CN101" t="n">
        <v>16169</v>
      </c>
      <c r="CO101" t="n">
        <v>16088</v>
      </c>
      <c r="CQ101" t="inlineStr">
        <is>
          <t>Pesquisa</t>
        </is>
      </c>
      <c r="CR101">
        <f>IFERROR(CHOOSE(MATCH($CQ$6,{"Ano Completo","1º Semestre","2º Semestre","1º Trimestre","2º Trimestre","3º Trimestre","4º Trimestre"},0),SUM(CS101:DD101),SUM(CS101:CX101),SUM(CY101:DD101),SUM(CS101:CU101),SUM(CV101:CX101),SUM(CY101:DA101),SUM(DB101:DD101)),0)</f>
        <v/>
      </c>
      <c r="CS101" t="n">
        <v>2428</v>
      </c>
      <c r="CT101" t="n">
        <v>19758</v>
      </c>
      <c r="CU101" t="n">
        <v>10699</v>
      </c>
      <c r="CV101" t="n">
        <v>4226</v>
      </c>
      <c r="CW101" t="n">
        <v>9990</v>
      </c>
      <c r="CX101" t="n">
        <v>17607</v>
      </c>
      <c r="CY101" t="n">
        <v>3835</v>
      </c>
      <c r="CZ101" t="n">
        <v>12431</v>
      </c>
      <c r="DA101" t="n">
        <v>9371</v>
      </c>
      <c r="DB101" t="n">
        <v>14005</v>
      </c>
      <c r="DC101" t="n">
        <v>14819</v>
      </c>
      <c r="DD101" t="n">
        <v>15799</v>
      </c>
      <c r="DG101" t="inlineStr">
        <is>
          <t>Pesquisa</t>
        </is>
      </c>
      <c r="DH101">
        <f>IFERROR(CHOOSE(MATCH($DG$6,{"Ano Completo","1º Semestre","2º Semestre","1º Trimestre","2º Trimestre","3º Trimestre","4º Trimestre"},0),SUM(DI101:DT101),SUM(DI101:DN101),SUM(DO101:DT101),SUM(DI101:DK101),SUM(DL101:DN101),SUM(DO101:DQ101),SUM(DR101:DT101)),0)</f>
        <v/>
      </c>
      <c r="DI101" t="n">
        <v>18174</v>
      </c>
      <c r="DJ101" t="n">
        <v>15503</v>
      </c>
      <c r="DK101" t="n">
        <v>3863</v>
      </c>
      <c r="DL101" t="n">
        <v>17887</v>
      </c>
      <c r="DM101" t="n">
        <v>1518</v>
      </c>
      <c r="DN101" t="n">
        <v>10412</v>
      </c>
      <c r="DO101" t="n">
        <v>12309</v>
      </c>
      <c r="DP101" t="n">
        <v>7795</v>
      </c>
      <c r="DQ101" t="n">
        <v>2735</v>
      </c>
      <c r="DR101" t="n">
        <v>18767</v>
      </c>
      <c r="DS101" t="n">
        <v>16169</v>
      </c>
      <c r="DT101" t="n">
        <v>16088</v>
      </c>
      <c r="DV101" t="inlineStr">
        <is>
          <t>Pesquisa</t>
        </is>
      </c>
      <c r="DW101">
        <f>IFERROR(CHOOSE(MATCH($DV$6,{"Ano Completo","1º Semestre","2º Semestre","1º Trimestre","2º Trimestre","3º Trimestre","4º Trimestre"},0),SUM(DX101:EI101),SUM(DX101:EC101),SUM(ED101:EI101),SUM(DX101:DZ101),SUM(EA101:EC101),SUM(ED101:EF101),SUM(EG101:EI101)),0)</f>
        <v/>
      </c>
      <c r="DX101" t="n">
        <v>2428</v>
      </c>
      <c r="DY101" t="n">
        <v>19758</v>
      </c>
      <c r="DZ101" t="n">
        <v>10699</v>
      </c>
      <c r="EA101" t="n">
        <v>4226</v>
      </c>
      <c r="EB101" t="n">
        <v>9990</v>
      </c>
      <c r="EC101" t="n">
        <v>17607</v>
      </c>
      <c r="ED101" t="n">
        <v>3835</v>
      </c>
      <c r="EE101" t="n">
        <v>12431</v>
      </c>
      <c r="EF101" t="n">
        <v>9371</v>
      </c>
      <c r="EG101" t="n">
        <v>14005</v>
      </c>
      <c r="EH101" t="n">
        <v>14819</v>
      </c>
      <c r="EI101" t="n">
        <v>15799</v>
      </c>
      <c r="EL101" t="inlineStr">
        <is>
          <t>Pesquisa</t>
        </is>
      </c>
      <c r="EM101">
        <f>IFERROR(CHOOSE(MATCH($EL$6,{"Ano Completo","1º Semestre","2º Semestre","1º Trimestre","2º Trimestre","3º Trimestre","4º Trimestre"},0),SUM(EN101:EY101),SUM(EN101:ES101),SUM(ET101:EY101),SUM(EN101:EP101),SUM(EQ101:ES101),SUM(ET101:EV101),SUM(EW101:EY101)),0)</f>
        <v/>
      </c>
      <c r="EN101" t="n">
        <v>18174</v>
      </c>
      <c r="EO101" t="n">
        <v>15503</v>
      </c>
      <c r="EP101" t="n">
        <v>3863</v>
      </c>
      <c r="EQ101" t="n">
        <v>17887</v>
      </c>
      <c r="ER101" t="n">
        <v>1518</v>
      </c>
      <c r="ES101" t="n">
        <v>10412</v>
      </c>
      <c r="ET101" t="n">
        <v>12309</v>
      </c>
      <c r="EU101" t="n">
        <v>7795</v>
      </c>
      <c r="EV101" t="n">
        <v>2735</v>
      </c>
      <c r="EW101" t="n">
        <v>18767</v>
      </c>
      <c r="EX101" t="n">
        <v>16169</v>
      </c>
      <c r="EY101" t="n">
        <v>16088</v>
      </c>
    </row>
    <row r="102">
      <c r="B102" t="inlineStr">
        <is>
          <t>Custas não Reembolsáveis</t>
        </is>
      </c>
      <c r="C102">
        <f>IFERROR(CHOOSE(MATCH($B$6,{"Ano Completo","1º Semestre","2º Semestre","1º Trimestre","2º Trimestre","3º Trimestre","4º Trimestre"},0),SUM(D102:O102),SUM(D102:I102),SUM(J102:O102),SUM(D102:F102),SUM(G102:I102),SUM(J102:L102),SUM(M102:O102)),0)</f>
        <v/>
      </c>
      <c r="R102" t="inlineStr">
        <is>
          <t>Custas não Reembolsáveis</t>
        </is>
      </c>
      <c r="S102">
        <f>IFERROR(CHOOSE(MATCH($R$6,{"Ano Completo","1º Semestre","2º Semestre","1º Trimestre","2º Trimestre","3º Trimestre","4º Trimestre"},0),SUM(T102:AE102),SUM(T102:Y102),SUM(Z102:AE102),SUM(T102:V102),SUM(W102:Y102),SUM(Z102:AB102),SUM(AC102:AE102)),0)</f>
        <v/>
      </c>
      <c r="AG102" t="inlineStr">
        <is>
          <t>Custas não Reembolsáveis</t>
        </is>
      </c>
      <c r="AH102">
        <f>IFERROR(CHOOSE(MATCH($AG$6,{"Ano Completo","1º Semestre","2º Semestre","1º Trimestre","2º Trimestre","3º Trimestre","4º Trimestre"},0),SUM(AI102:AT102),SUM(AI102:AN102),SUM(AO102:AT102),SUM(AI102:AK102),SUM(AL102:AN102),SUM(AO102:AQ102),SUM(AR102:AT102)),0)</f>
        <v/>
      </c>
      <c r="AI102" t="n">
        <v>17927</v>
      </c>
      <c r="AJ102" t="n">
        <v>5457</v>
      </c>
      <c r="AK102" t="n">
        <v>11005</v>
      </c>
      <c r="AL102" t="n">
        <v>4699</v>
      </c>
      <c r="AM102" t="n">
        <v>4951</v>
      </c>
      <c r="AN102" t="n">
        <v>18939</v>
      </c>
      <c r="AO102" t="n">
        <v>12431</v>
      </c>
      <c r="AP102" t="n">
        <v>3821</v>
      </c>
      <c r="AQ102" t="n">
        <v>10061</v>
      </c>
      <c r="AR102" t="n">
        <v>19163</v>
      </c>
      <c r="AS102" t="n">
        <v>13846</v>
      </c>
      <c r="AT102" t="n">
        <v>10099</v>
      </c>
      <c r="AW102" t="inlineStr">
        <is>
          <t>Custas não Reembolsáveis</t>
        </is>
      </c>
      <c r="AX102">
        <f>IFERROR(CHOOSE(MATCH($AW$6,{"Ano Completo","1º Semestre","2º Semestre","1º Trimestre","2º Trimestre","3º Trimestre","4º Trimestre"},0),SUM(AY102:BJ102),SUM(AY102:BD102),SUM(BE102:BJ102),SUM(AY102:BA102),SUM(BB102:BD102),SUM(BE102:BG102),SUM(BH102:BJ102)),0)</f>
        <v/>
      </c>
      <c r="AY102" t="n">
        <v>17863</v>
      </c>
      <c r="AZ102" t="n">
        <v>1453</v>
      </c>
      <c r="BA102" t="n">
        <v>3186</v>
      </c>
      <c r="BB102" t="n">
        <v>18777</v>
      </c>
      <c r="BC102" t="n">
        <v>1690</v>
      </c>
      <c r="BD102" t="n">
        <v>10732</v>
      </c>
      <c r="BE102" t="n">
        <v>8352</v>
      </c>
      <c r="BF102" t="n">
        <v>1579</v>
      </c>
      <c r="BG102" t="n">
        <v>13342</v>
      </c>
      <c r="BH102" t="n">
        <v>17711</v>
      </c>
      <c r="BI102" t="n">
        <v>17452</v>
      </c>
      <c r="BJ102" t="n">
        <v>16629</v>
      </c>
      <c r="BL102" t="inlineStr">
        <is>
          <t>Custas não Reembolsáveis</t>
        </is>
      </c>
      <c r="BM102">
        <f>IFERROR(CHOOSE(MATCH($BL$6,{"Ano Completo","1º Semestre","2º Semestre","1º Trimestre","2º Trimestre","3º Trimestre","4º Trimestre"},0),SUM(BN102:BY102),SUM(BN102:BS102),SUM(BT102:BY102),SUM(BN102:BP102),SUM(BQ102:BS102),SUM(BT102:BV102),SUM(BW102:BY102)),0)</f>
        <v/>
      </c>
      <c r="BN102" t="n">
        <v>17927</v>
      </c>
      <c r="BO102" t="n">
        <v>5457</v>
      </c>
      <c r="BP102" t="n">
        <v>11005</v>
      </c>
      <c r="BQ102" t="n">
        <v>4699</v>
      </c>
      <c r="BR102" t="n">
        <v>4951</v>
      </c>
      <c r="BS102" t="n">
        <v>18939</v>
      </c>
      <c r="BT102" t="n">
        <v>12431</v>
      </c>
      <c r="BU102" t="n">
        <v>3821</v>
      </c>
      <c r="BV102" t="n">
        <v>10061</v>
      </c>
      <c r="BW102" t="n">
        <v>19163</v>
      </c>
      <c r="BX102" t="n">
        <v>13846</v>
      </c>
      <c r="BY102" t="n">
        <v>10099</v>
      </c>
      <c r="CB102" t="inlineStr">
        <is>
          <t>Custas não Reembolsáveis</t>
        </is>
      </c>
      <c r="CC102">
        <f>IFERROR(CHOOSE(MATCH($CB$6,{"Ano Completo","1º Semestre","2º Semestre","1º Trimestre","2º Trimestre","3º Trimestre","4º Trimestre"},0),SUM(CD102:CO102),SUM(CD102:CI102),SUM(CJ102:CO102),SUM(CD102:CF102),SUM(CG102:CI102),SUM(CJ102:CL102),SUM(CM102:CO102)),0)</f>
        <v/>
      </c>
      <c r="CD102" t="n">
        <v>17863</v>
      </c>
      <c r="CE102" t="n">
        <v>1453</v>
      </c>
      <c r="CF102" t="n">
        <v>3186</v>
      </c>
      <c r="CG102" t="n">
        <v>18777</v>
      </c>
      <c r="CH102" t="n">
        <v>1690</v>
      </c>
      <c r="CI102" t="n">
        <v>10732</v>
      </c>
      <c r="CJ102" t="n">
        <v>8352</v>
      </c>
      <c r="CK102" t="n">
        <v>1579</v>
      </c>
      <c r="CL102" t="n">
        <v>13342</v>
      </c>
      <c r="CM102" t="n">
        <v>17711</v>
      </c>
      <c r="CN102" t="n">
        <v>17452</v>
      </c>
      <c r="CO102" t="n">
        <v>16629</v>
      </c>
      <c r="CQ102" t="inlineStr">
        <is>
          <t>Custas não Reembolsáveis</t>
        </is>
      </c>
      <c r="CR102">
        <f>IFERROR(CHOOSE(MATCH($CQ$6,{"Ano Completo","1º Semestre","2º Semestre","1º Trimestre","2º Trimestre","3º Trimestre","4º Trimestre"},0),SUM(CS102:DD102),SUM(CS102:CX102),SUM(CY102:DD102),SUM(CS102:CU102),SUM(CV102:CX102),SUM(CY102:DA102),SUM(DB102:DD102)),0)</f>
        <v/>
      </c>
      <c r="CS102" t="n">
        <v>17927</v>
      </c>
      <c r="CT102" t="n">
        <v>5457</v>
      </c>
      <c r="CU102" t="n">
        <v>11005</v>
      </c>
      <c r="CV102" t="n">
        <v>4699</v>
      </c>
      <c r="CW102" t="n">
        <v>4951</v>
      </c>
      <c r="CX102" t="n">
        <v>18939</v>
      </c>
      <c r="CY102" t="n">
        <v>12431</v>
      </c>
      <c r="CZ102" t="n">
        <v>3821</v>
      </c>
      <c r="DA102" t="n">
        <v>10061</v>
      </c>
      <c r="DB102" t="n">
        <v>19163</v>
      </c>
      <c r="DC102" t="n">
        <v>13846</v>
      </c>
      <c r="DD102" t="n">
        <v>10099</v>
      </c>
      <c r="DG102" t="inlineStr">
        <is>
          <t>Custas não Reembolsáveis</t>
        </is>
      </c>
      <c r="DH102">
        <f>IFERROR(CHOOSE(MATCH($DG$6,{"Ano Completo","1º Semestre","2º Semestre","1º Trimestre","2º Trimestre","3º Trimestre","4º Trimestre"},0),SUM(DI102:DT102),SUM(DI102:DN102),SUM(DO102:DT102),SUM(DI102:DK102),SUM(DL102:DN102),SUM(DO102:DQ102),SUM(DR102:DT102)),0)</f>
        <v/>
      </c>
      <c r="DI102" t="n">
        <v>17863</v>
      </c>
      <c r="DJ102" t="n">
        <v>1453</v>
      </c>
      <c r="DK102" t="n">
        <v>3186</v>
      </c>
      <c r="DL102" t="n">
        <v>18777</v>
      </c>
      <c r="DM102" t="n">
        <v>1690</v>
      </c>
      <c r="DN102" t="n">
        <v>10732</v>
      </c>
      <c r="DO102" t="n">
        <v>8352</v>
      </c>
      <c r="DP102" t="n">
        <v>1579</v>
      </c>
      <c r="DQ102" t="n">
        <v>13342</v>
      </c>
      <c r="DR102" t="n">
        <v>17711</v>
      </c>
      <c r="DS102" t="n">
        <v>17452</v>
      </c>
      <c r="DT102" t="n">
        <v>16629</v>
      </c>
      <c r="DV102" t="inlineStr">
        <is>
          <t>Custas não Reembolsáveis</t>
        </is>
      </c>
      <c r="DW102">
        <f>IFERROR(CHOOSE(MATCH($DV$6,{"Ano Completo","1º Semestre","2º Semestre","1º Trimestre","2º Trimestre","3º Trimestre","4º Trimestre"},0),SUM(DX102:EI102),SUM(DX102:EC102),SUM(ED102:EI102),SUM(DX102:DZ102),SUM(EA102:EC102),SUM(ED102:EF102),SUM(EG102:EI102)),0)</f>
        <v/>
      </c>
      <c r="DX102" t="n">
        <v>17927</v>
      </c>
      <c r="DY102" t="n">
        <v>5457</v>
      </c>
      <c r="DZ102" t="n">
        <v>11005</v>
      </c>
      <c r="EA102" t="n">
        <v>4699</v>
      </c>
      <c r="EB102" t="n">
        <v>4951</v>
      </c>
      <c r="EC102" t="n">
        <v>18939</v>
      </c>
      <c r="ED102" t="n">
        <v>12431</v>
      </c>
      <c r="EE102" t="n">
        <v>3821</v>
      </c>
      <c r="EF102" t="n">
        <v>10061</v>
      </c>
      <c r="EG102" t="n">
        <v>19163</v>
      </c>
      <c r="EH102" t="n">
        <v>13846</v>
      </c>
      <c r="EI102" t="n">
        <v>10099</v>
      </c>
      <c r="EL102" t="inlineStr">
        <is>
          <t>Custas não Reembolsáveis</t>
        </is>
      </c>
      <c r="EM102">
        <f>IFERROR(CHOOSE(MATCH($EL$6,{"Ano Completo","1º Semestre","2º Semestre","1º Trimestre","2º Trimestre","3º Trimestre","4º Trimestre"},0),SUM(EN102:EY102),SUM(EN102:ES102),SUM(ET102:EY102),SUM(EN102:EP102),SUM(EQ102:ES102),SUM(ET102:EV102),SUM(EW102:EY102)),0)</f>
        <v/>
      </c>
      <c r="EN102" t="n">
        <v>17863</v>
      </c>
      <c r="EO102" t="n">
        <v>1453</v>
      </c>
      <c r="EP102" t="n">
        <v>3186</v>
      </c>
      <c r="EQ102" t="n">
        <v>18777</v>
      </c>
      <c r="ER102" t="n">
        <v>1690</v>
      </c>
      <c r="ES102" t="n">
        <v>10732</v>
      </c>
      <c r="ET102" t="n">
        <v>8352</v>
      </c>
      <c r="EU102" t="n">
        <v>1579</v>
      </c>
      <c r="EV102" t="n">
        <v>13342</v>
      </c>
      <c r="EW102" t="n">
        <v>17711</v>
      </c>
      <c r="EX102" t="n">
        <v>17452</v>
      </c>
      <c r="EY102" t="n">
        <v>16629</v>
      </c>
    </row>
    <row r="103">
      <c r="B103" t="inlineStr">
        <is>
          <t>Enriquecimento de Base</t>
        </is>
      </c>
      <c r="C103">
        <f>IFERROR(CHOOSE(MATCH($B$6,{"Ano Completo","1º Semestre","2º Semestre","1º Trimestre","2º Trimestre","3º Trimestre","4º Trimestre"},0),SUM(D103:O103),SUM(D103:I103),SUM(J103:O103),SUM(D103:F103),SUM(G103:I103),SUM(J103:L103),SUM(M103:O103)),0)</f>
        <v/>
      </c>
      <c r="R103" t="inlineStr">
        <is>
          <t>Enriquecimento de Base</t>
        </is>
      </c>
      <c r="S103">
        <f>IFERROR(CHOOSE(MATCH($R$6,{"Ano Completo","1º Semestre","2º Semestre","1º Trimestre","2º Trimestre","3º Trimestre","4º Trimestre"},0),SUM(T103:AE103),SUM(T103:Y103),SUM(Z103:AE103),SUM(T103:V103),SUM(W103:Y103),SUM(Z103:AB103),SUM(AC103:AE103)),0)</f>
        <v/>
      </c>
      <c r="AG103" t="inlineStr">
        <is>
          <t>Enriquecimento de Base</t>
        </is>
      </c>
      <c r="AH103">
        <f>IFERROR(CHOOSE(MATCH($AG$6,{"Ano Completo","1º Semestre","2º Semestre","1º Trimestre","2º Trimestre","3º Trimestre","4º Trimestre"},0),SUM(AI103:AT103),SUM(AI103:AN103),SUM(AO103:AT103),SUM(AI103:AK103),SUM(AL103:AN103),SUM(AO103:AQ103),SUM(AR103:AT103)),0)</f>
        <v/>
      </c>
      <c r="AI103" t="n">
        <v>4396</v>
      </c>
      <c r="AJ103" t="n">
        <v>8613</v>
      </c>
      <c r="AK103" t="n">
        <v>7534</v>
      </c>
      <c r="AL103" t="n">
        <v>3272</v>
      </c>
      <c r="AM103" t="n">
        <v>14775</v>
      </c>
      <c r="AN103" t="n">
        <v>1174</v>
      </c>
      <c r="AO103" t="n">
        <v>8960</v>
      </c>
      <c r="AP103" t="n">
        <v>5709</v>
      </c>
      <c r="AQ103" t="n">
        <v>18540</v>
      </c>
      <c r="AR103" t="n">
        <v>9302</v>
      </c>
      <c r="AS103" t="n">
        <v>10285</v>
      </c>
      <c r="AT103" t="n">
        <v>9763</v>
      </c>
      <c r="AW103" t="inlineStr">
        <is>
          <t>Enriquecimento de Base</t>
        </is>
      </c>
      <c r="AX103">
        <f>IFERROR(CHOOSE(MATCH($AW$6,{"Ano Completo","1º Semestre","2º Semestre","1º Trimestre","2º Trimestre","3º Trimestre","4º Trimestre"},0),SUM(AY103:BJ103),SUM(AY103:BD103),SUM(BE103:BJ103),SUM(AY103:BA103),SUM(BB103:BD103),SUM(BE103:BG103),SUM(BH103:BJ103)),0)</f>
        <v/>
      </c>
      <c r="AY103" t="n">
        <v>10898</v>
      </c>
      <c r="AZ103" t="n">
        <v>13145</v>
      </c>
      <c r="BA103" t="n">
        <v>15427</v>
      </c>
      <c r="BB103" t="n">
        <v>6228</v>
      </c>
      <c r="BC103" t="n">
        <v>17228</v>
      </c>
      <c r="BD103" t="n">
        <v>14219</v>
      </c>
      <c r="BE103" t="n">
        <v>3960</v>
      </c>
      <c r="BF103" t="n">
        <v>1313</v>
      </c>
      <c r="BG103" t="n">
        <v>11393</v>
      </c>
      <c r="BH103" t="n">
        <v>1354</v>
      </c>
      <c r="BI103" t="n">
        <v>1805</v>
      </c>
      <c r="BJ103" t="n">
        <v>1328</v>
      </c>
      <c r="BL103" t="inlineStr">
        <is>
          <t>Enriquecimento de Base</t>
        </is>
      </c>
      <c r="BM103">
        <f>IFERROR(CHOOSE(MATCH($BL$6,{"Ano Completo","1º Semestre","2º Semestre","1º Trimestre","2º Trimestre","3º Trimestre","4º Trimestre"},0),SUM(BN103:BY103),SUM(BN103:BS103),SUM(BT103:BY103),SUM(BN103:BP103),SUM(BQ103:BS103),SUM(BT103:BV103),SUM(BW103:BY103)),0)</f>
        <v/>
      </c>
      <c r="BN103" t="n">
        <v>4396</v>
      </c>
      <c r="BO103" t="n">
        <v>8613</v>
      </c>
      <c r="BP103" t="n">
        <v>7534</v>
      </c>
      <c r="BQ103" t="n">
        <v>3272</v>
      </c>
      <c r="BR103" t="n">
        <v>14775</v>
      </c>
      <c r="BS103" t="n">
        <v>1174</v>
      </c>
      <c r="BT103" t="n">
        <v>8960</v>
      </c>
      <c r="BU103" t="n">
        <v>5709</v>
      </c>
      <c r="BV103" t="n">
        <v>18540</v>
      </c>
      <c r="BW103" t="n">
        <v>9302</v>
      </c>
      <c r="BX103" t="n">
        <v>10285</v>
      </c>
      <c r="BY103" t="n">
        <v>9763</v>
      </c>
      <c r="CB103" t="inlineStr">
        <is>
          <t>Enriquecimento de Base</t>
        </is>
      </c>
      <c r="CC103">
        <f>IFERROR(CHOOSE(MATCH($CB$6,{"Ano Completo","1º Semestre","2º Semestre","1º Trimestre","2º Trimestre","3º Trimestre","4º Trimestre"},0),SUM(CD103:CO103),SUM(CD103:CI103),SUM(CJ103:CO103),SUM(CD103:CF103),SUM(CG103:CI103),SUM(CJ103:CL103),SUM(CM103:CO103)),0)</f>
        <v/>
      </c>
      <c r="CD103" t="n">
        <v>10898</v>
      </c>
      <c r="CE103" t="n">
        <v>13145</v>
      </c>
      <c r="CF103" t="n">
        <v>15427</v>
      </c>
      <c r="CG103" t="n">
        <v>6228</v>
      </c>
      <c r="CH103" t="n">
        <v>17228</v>
      </c>
      <c r="CI103" t="n">
        <v>14219</v>
      </c>
      <c r="CJ103" t="n">
        <v>3960</v>
      </c>
      <c r="CK103" t="n">
        <v>1313</v>
      </c>
      <c r="CL103" t="n">
        <v>11393</v>
      </c>
      <c r="CM103" t="n">
        <v>1354</v>
      </c>
      <c r="CN103" t="n">
        <v>1805</v>
      </c>
      <c r="CO103" t="n">
        <v>1328</v>
      </c>
      <c r="CQ103" t="inlineStr">
        <is>
          <t>Enriquecimento de Base</t>
        </is>
      </c>
      <c r="CR103">
        <f>IFERROR(CHOOSE(MATCH($CQ$6,{"Ano Completo","1º Semestre","2º Semestre","1º Trimestre","2º Trimestre","3º Trimestre","4º Trimestre"},0),SUM(CS103:DD103),SUM(CS103:CX103),SUM(CY103:DD103),SUM(CS103:CU103),SUM(CV103:CX103),SUM(CY103:DA103),SUM(DB103:DD103)),0)</f>
        <v/>
      </c>
      <c r="CS103" t="n">
        <v>4396</v>
      </c>
      <c r="CT103" t="n">
        <v>8613</v>
      </c>
      <c r="CU103" t="n">
        <v>7534</v>
      </c>
      <c r="CV103" t="n">
        <v>3272</v>
      </c>
      <c r="CW103" t="n">
        <v>14775</v>
      </c>
      <c r="CX103" t="n">
        <v>1174</v>
      </c>
      <c r="CY103" t="n">
        <v>8960</v>
      </c>
      <c r="CZ103" t="n">
        <v>5709</v>
      </c>
      <c r="DA103" t="n">
        <v>18540</v>
      </c>
      <c r="DB103" t="n">
        <v>9302</v>
      </c>
      <c r="DC103" t="n">
        <v>10285</v>
      </c>
      <c r="DD103" t="n">
        <v>9763</v>
      </c>
      <c r="DG103" t="inlineStr">
        <is>
          <t>Enriquecimento de Base</t>
        </is>
      </c>
      <c r="DH103">
        <f>IFERROR(CHOOSE(MATCH($DG$6,{"Ano Completo","1º Semestre","2º Semestre","1º Trimestre","2º Trimestre","3º Trimestre","4º Trimestre"},0),SUM(DI103:DT103),SUM(DI103:DN103),SUM(DO103:DT103),SUM(DI103:DK103),SUM(DL103:DN103),SUM(DO103:DQ103),SUM(DR103:DT103)),0)</f>
        <v/>
      </c>
      <c r="DI103" t="n">
        <v>10898</v>
      </c>
      <c r="DJ103" t="n">
        <v>13145</v>
      </c>
      <c r="DK103" t="n">
        <v>15427</v>
      </c>
      <c r="DL103" t="n">
        <v>6228</v>
      </c>
      <c r="DM103" t="n">
        <v>17228</v>
      </c>
      <c r="DN103" t="n">
        <v>14219</v>
      </c>
      <c r="DO103" t="n">
        <v>3960</v>
      </c>
      <c r="DP103" t="n">
        <v>1313</v>
      </c>
      <c r="DQ103" t="n">
        <v>11393</v>
      </c>
      <c r="DR103" t="n">
        <v>1354</v>
      </c>
      <c r="DS103" t="n">
        <v>1805</v>
      </c>
      <c r="DT103" t="n">
        <v>1328</v>
      </c>
      <c r="DV103" t="inlineStr">
        <is>
          <t>Enriquecimento de Base</t>
        </is>
      </c>
      <c r="DW103">
        <f>IFERROR(CHOOSE(MATCH($DV$6,{"Ano Completo","1º Semestre","2º Semestre","1º Trimestre","2º Trimestre","3º Trimestre","4º Trimestre"},0),SUM(DX103:EI103),SUM(DX103:EC103),SUM(ED103:EI103),SUM(DX103:DZ103),SUM(EA103:EC103),SUM(ED103:EF103),SUM(EG103:EI103)),0)</f>
        <v/>
      </c>
      <c r="DX103" t="n">
        <v>4396</v>
      </c>
      <c r="DY103" t="n">
        <v>8613</v>
      </c>
      <c r="DZ103" t="n">
        <v>7534</v>
      </c>
      <c r="EA103" t="n">
        <v>3272</v>
      </c>
      <c r="EB103" t="n">
        <v>14775</v>
      </c>
      <c r="EC103" t="n">
        <v>1174</v>
      </c>
      <c r="ED103" t="n">
        <v>8960</v>
      </c>
      <c r="EE103" t="n">
        <v>5709</v>
      </c>
      <c r="EF103" t="n">
        <v>18540</v>
      </c>
      <c r="EG103" t="n">
        <v>9302</v>
      </c>
      <c r="EH103" t="n">
        <v>10285</v>
      </c>
      <c r="EI103" t="n">
        <v>9763</v>
      </c>
      <c r="EL103" t="inlineStr">
        <is>
          <t>Enriquecimento de Base</t>
        </is>
      </c>
      <c r="EM103">
        <f>IFERROR(CHOOSE(MATCH($EL$6,{"Ano Completo","1º Semestre","2º Semestre","1º Trimestre","2º Trimestre","3º Trimestre","4º Trimestre"},0),SUM(EN103:EY103),SUM(EN103:ES103),SUM(ET103:EY103),SUM(EN103:EP103),SUM(EQ103:ES103),SUM(ET103:EV103),SUM(EW103:EY103)),0)</f>
        <v/>
      </c>
      <c r="EN103" t="n">
        <v>10898</v>
      </c>
      <c r="EO103" t="n">
        <v>13145</v>
      </c>
      <c r="EP103" t="n">
        <v>15427</v>
      </c>
      <c r="EQ103" t="n">
        <v>6228</v>
      </c>
      <c r="ER103" t="n">
        <v>17228</v>
      </c>
      <c r="ES103" t="n">
        <v>14219</v>
      </c>
      <c r="ET103" t="n">
        <v>3960</v>
      </c>
      <c r="EU103" t="n">
        <v>1313</v>
      </c>
      <c r="EV103" t="n">
        <v>11393</v>
      </c>
      <c r="EW103" t="n">
        <v>1354</v>
      </c>
      <c r="EX103" t="n">
        <v>1805</v>
      </c>
      <c r="EY103" t="n">
        <v>1328</v>
      </c>
    </row>
    <row r="104">
      <c r="B104" t="inlineStr">
        <is>
          <t>Licença de Discadores</t>
        </is>
      </c>
      <c r="C104">
        <f>IFERROR(CHOOSE(MATCH($B$6,{"Ano Completo","1º Semestre","2º Semestre","1º Trimestre","2º Trimestre","3º Trimestre","4º Trimestre"},0),SUM(D104:O104),SUM(D104:I104),SUM(J104:O104),SUM(D104:F104),SUM(G104:I104),SUM(J104:L104),SUM(M104:O104)),0)</f>
        <v/>
      </c>
      <c r="R104" t="inlineStr">
        <is>
          <t>Licença de Discadores</t>
        </is>
      </c>
      <c r="S104">
        <f>IFERROR(CHOOSE(MATCH($R$6,{"Ano Completo","1º Semestre","2º Semestre","1º Trimestre","2º Trimestre","3º Trimestre","4º Trimestre"},0),SUM(T104:AE104),SUM(T104:Y104),SUM(Z104:AE104),SUM(T104:V104),SUM(W104:Y104),SUM(Z104:AB104),SUM(AC104:AE104)),0)</f>
        <v/>
      </c>
      <c r="AG104" t="inlineStr">
        <is>
          <t>Licença de Discadores</t>
        </is>
      </c>
      <c r="AH104">
        <f>IFERROR(CHOOSE(MATCH($AG$6,{"Ano Completo","1º Semestre","2º Semestre","1º Trimestre","2º Trimestre","3º Trimestre","4º Trimestre"},0),SUM(AI104:AT104),SUM(AI104:AN104),SUM(AO104:AT104),SUM(AI104:AK104),SUM(AL104:AN104),SUM(AO104:AQ104),SUM(AR104:AT104)),0)</f>
        <v/>
      </c>
      <c r="AI104" t="n">
        <v>3069</v>
      </c>
      <c r="AJ104" t="n">
        <v>6010</v>
      </c>
      <c r="AK104" t="n">
        <v>5239</v>
      </c>
      <c r="AL104" t="n">
        <v>15215</v>
      </c>
      <c r="AM104" t="n">
        <v>7185</v>
      </c>
      <c r="AN104" t="n">
        <v>5168</v>
      </c>
      <c r="AO104" t="n">
        <v>1815</v>
      </c>
      <c r="AP104" t="n">
        <v>5897</v>
      </c>
      <c r="AQ104" t="n">
        <v>17072</v>
      </c>
      <c r="AR104" t="n">
        <v>9770</v>
      </c>
      <c r="AS104" t="n">
        <v>10240</v>
      </c>
      <c r="AT104" t="n">
        <v>7048</v>
      </c>
      <c r="AW104" t="inlineStr">
        <is>
          <t>Licença de Discadores</t>
        </is>
      </c>
      <c r="AX104">
        <f>IFERROR(CHOOSE(MATCH($AW$6,{"Ano Completo","1º Semestre","2º Semestre","1º Trimestre","2º Trimestre","3º Trimestre","4º Trimestre"},0),SUM(AY104:BJ104),SUM(AY104:BD104),SUM(BE104:BJ104),SUM(AY104:BA104),SUM(BB104:BD104),SUM(BE104:BG104),SUM(BH104:BJ104)),0)</f>
        <v/>
      </c>
      <c r="AY104" t="n">
        <v>7874</v>
      </c>
      <c r="AZ104" t="n">
        <v>19502</v>
      </c>
      <c r="BA104" t="n">
        <v>7154</v>
      </c>
      <c r="BB104" t="n">
        <v>16003</v>
      </c>
      <c r="BC104" t="n">
        <v>13180</v>
      </c>
      <c r="BD104" t="n">
        <v>18817</v>
      </c>
      <c r="BE104" t="n">
        <v>13342</v>
      </c>
      <c r="BF104" t="n">
        <v>15977</v>
      </c>
      <c r="BG104" t="n">
        <v>18428</v>
      </c>
      <c r="BH104" t="n">
        <v>19461</v>
      </c>
      <c r="BI104" t="n">
        <v>2111</v>
      </c>
      <c r="BJ104" t="n">
        <v>17378</v>
      </c>
      <c r="BL104" t="inlineStr">
        <is>
          <t>Licença de Discadores</t>
        </is>
      </c>
      <c r="BM104">
        <f>IFERROR(CHOOSE(MATCH($BL$6,{"Ano Completo","1º Semestre","2º Semestre","1º Trimestre","2º Trimestre","3º Trimestre","4º Trimestre"},0),SUM(BN104:BY104),SUM(BN104:BS104),SUM(BT104:BY104),SUM(BN104:BP104),SUM(BQ104:BS104),SUM(BT104:BV104),SUM(BW104:BY104)),0)</f>
        <v/>
      </c>
      <c r="BN104" t="n">
        <v>3069</v>
      </c>
      <c r="BO104" t="n">
        <v>6010</v>
      </c>
      <c r="BP104" t="n">
        <v>5239</v>
      </c>
      <c r="BQ104" t="n">
        <v>15215</v>
      </c>
      <c r="BR104" t="n">
        <v>7185</v>
      </c>
      <c r="BS104" t="n">
        <v>5168</v>
      </c>
      <c r="BT104" t="n">
        <v>1815</v>
      </c>
      <c r="BU104" t="n">
        <v>5897</v>
      </c>
      <c r="BV104" t="n">
        <v>17072</v>
      </c>
      <c r="BW104" t="n">
        <v>9770</v>
      </c>
      <c r="BX104" t="n">
        <v>10240</v>
      </c>
      <c r="BY104" t="n">
        <v>7048</v>
      </c>
      <c r="CB104" t="inlineStr">
        <is>
          <t>Licença de Discadores</t>
        </is>
      </c>
      <c r="CC104">
        <f>IFERROR(CHOOSE(MATCH($CB$6,{"Ano Completo","1º Semestre","2º Semestre","1º Trimestre","2º Trimestre","3º Trimestre","4º Trimestre"},0),SUM(CD104:CO104),SUM(CD104:CI104),SUM(CJ104:CO104),SUM(CD104:CF104),SUM(CG104:CI104),SUM(CJ104:CL104),SUM(CM104:CO104)),0)</f>
        <v/>
      </c>
      <c r="CD104" t="n">
        <v>7874</v>
      </c>
      <c r="CE104" t="n">
        <v>19502</v>
      </c>
      <c r="CF104" t="n">
        <v>7154</v>
      </c>
      <c r="CG104" t="n">
        <v>16003</v>
      </c>
      <c r="CH104" t="n">
        <v>13180</v>
      </c>
      <c r="CI104" t="n">
        <v>18817</v>
      </c>
      <c r="CJ104" t="n">
        <v>13342</v>
      </c>
      <c r="CK104" t="n">
        <v>15977</v>
      </c>
      <c r="CL104" t="n">
        <v>18428</v>
      </c>
      <c r="CM104" t="n">
        <v>19461</v>
      </c>
      <c r="CN104" t="n">
        <v>2111</v>
      </c>
      <c r="CO104" t="n">
        <v>17378</v>
      </c>
      <c r="CQ104" t="inlineStr">
        <is>
          <t>Licença de Discadores</t>
        </is>
      </c>
      <c r="CR104">
        <f>IFERROR(CHOOSE(MATCH($CQ$6,{"Ano Completo","1º Semestre","2º Semestre","1º Trimestre","2º Trimestre","3º Trimestre","4º Trimestre"},0),SUM(CS104:DD104),SUM(CS104:CX104),SUM(CY104:DD104),SUM(CS104:CU104),SUM(CV104:CX104),SUM(CY104:DA104),SUM(DB104:DD104)),0)</f>
        <v/>
      </c>
      <c r="CS104" t="n">
        <v>3069</v>
      </c>
      <c r="CT104" t="n">
        <v>6010</v>
      </c>
      <c r="CU104" t="n">
        <v>5239</v>
      </c>
      <c r="CV104" t="n">
        <v>15215</v>
      </c>
      <c r="CW104" t="n">
        <v>7185</v>
      </c>
      <c r="CX104" t="n">
        <v>5168</v>
      </c>
      <c r="CY104" t="n">
        <v>1815</v>
      </c>
      <c r="CZ104" t="n">
        <v>5897</v>
      </c>
      <c r="DA104" t="n">
        <v>17072</v>
      </c>
      <c r="DB104" t="n">
        <v>9770</v>
      </c>
      <c r="DC104" t="n">
        <v>10240</v>
      </c>
      <c r="DD104" t="n">
        <v>7048</v>
      </c>
      <c r="DG104" t="inlineStr">
        <is>
          <t>Licença de Discadores</t>
        </is>
      </c>
      <c r="DH104">
        <f>IFERROR(CHOOSE(MATCH($DG$6,{"Ano Completo","1º Semestre","2º Semestre","1º Trimestre","2º Trimestre","3º Trimestre","4º Trimestre"},0),SUM(DI104:DT104),SUM(DI104:DN104),SUM(DO104:DT104),SUM(DI104:DK104),SUM(DL104:DN104),SUM(DO104:DQ104),SUM(DR104:DT104)),0)</f>
        <v/>
      </c>
      <c r="DI104" t="n">
        <v>7874</v>
      </c>
      <c r="DJ104" t="n">
        <v>19502</v>
      </c>
      <c r="DK104" t="n">
        <v>7154</v>
      </c>
      <c r="DL104" t="n">
        <v>16003</v>
      </c>
      <c r="DM104" t="n">
        <v>13180</v>
      </c>
      <c r="DN104" t="n">
        <v>18817</v>
      </c>
      <c r="DO104" t="n">
        <v>13342</v>
      </c>
      <c r="DP104" t="n">
        <v>15977</v>
      </c>
      <c r="DQ104" t="n">
        <v>18428</v>
      </c>
      <c r="DR104" t="n">
        <v>19461</v>
      </c>
      <c r="DS104" t="n">
        <v>2111</v>
      </c>
      <c r="DT104" t="n">
        <v>17378</v>
      </c>
      <c r="DV104" t="inlineStr">
        <is>
          <t>Licença de Discadores</t>
        </is>
      </c>
      <c r="DW104">
        <f>IFERROR(CHOOSE(MATCH($DV$6,{"Ano Completo","1º Semestre","2º Semestre","1º Trimestre","2º Trimestre","3º Trimestre","4º Trimestre"},0),SUM(DX104:EI104),SUM(DX104:EC104),SUM(ED104:EI104),SUM(DX104:DZ104),SUM(EA104:EC104),SUM(ED104:EF104),SUM(EG104:EI104)),0)</f>
        <v/>
      </c>
      <c r="DX104" t="n">
        <v>3069</v>
      </c>
      <c r="DY104" t="n">
        <v>6010</v>
      </c>
      <c r="DZ104" t="n">
        <v>5239</v>
      </c>
      <c r="EA104" t="n">
        <v>15215</v>
      </c>
      <c r="EB104" t="n">
        <v>7185</v>
      </c>
      <c r="EC104" t="n">
        <v>5168</v>
      </c>
      <c r="ED104" t="n">
        <v>1815</v>
      </c>
      <c r="EE104" t="n">
        <v>5897</v>
      </c>
      <c r="EF104" t="n">
        <v>17072</v>
      </c>
      <c r="EG104" t="n">
        <v>9770</v>
      </c>
      <c r="EH104" t="n">
        <v>10240</v>
      </c>
      <c r="EI104" t="n">
        <v>7048</v>
      </c>
      <c r="EL104" t="inlineStr">
        <is>
          <t>Licença de Discadores</t>
        </is>
      </c>
      <c r="EM104">
        <f>IFERROR(CHOOSE(MATCH($EL$6,{"Ano Completo","1º Semestre","2º Semestre","1º Trimestre","2º Trimestre","3º Trimestre","4º Trimestre"},0),SUM(EN104:EY104),SUM(EN104:ES104),SUM(ET104:EY104),SUM(EN104:EP104),SUM(EQ104:ES104),SUM(ET104:EV104),SUM(EW104:EY104)),0)</f>
        <v/>
      </c>
      <c r="EN104" t="n">
        <v>7874</v>
      </c>
      <c r="EO104" t="n">
        <v>19502</v>
      </c>
      <c r="EP104" t="n">
        <v>7154</v>
      </c>
      <c r="EQ104" t="n">
        <v>16003</v>
      </c>
      <c r="ER104" t="n">
        <v>13180</v>
      </c>
      <c r="ES104" t="n">
        <v>18817</v>
      </c>
      <c r="ET104" t="n">
        <v>13342</v>
      </c>
      <c r="EU104" t="n">
        <v>15977</v>
      </c>
      <c r="EV104" t="n">
        <v>18428</v>
      </c>
      <c r="EW104" t="n">
        <v>19461</v>
      </c>
      <c r="EX104" t="n">
        <v>2111</v>
      </c>
      <c r="EY104" t="n">
        <v>17378</v>
      </c>
    </row>
    <row r="105">
      <c r="B105" t="inlineStr">
        <is>
          <t>Sistemas (desenvolvimento, hardware, software)</t>
        </is>
      </c>
      <c r="C105">
        <f>IFERROR(CHOOSE(MATCH($B$6,{"Ano Completo","1º Semestre","2º Semestre","1º Trimestre","2º Trimestre","3º Trimestre","4º Trimestre"},0),SUM(D105:O105),SUM(D105:I105),SUM(J105:O105),SUM(D105:F105),SUM(G105:I105),SUM(J105:L105),SUM(M105:O105)),0)</f>
        <v/>
      </c>
      <c r="R105" t="inlineStr">
        <is>
          <t>Sistemas (desenvolvimento, hardware, software)</t>
        </is>
      </c>
      <c r="S105">
        <f>IFERROR(CHOOSE(MATCH($R$6,{"Ano Completo","1º Semestre","2º Semestre","1º Trimestre","2º Trimestre","3º Trimestre","4º Trimestre"},0),SUM(T105:AE105),SUM(T105:Y105),SUM(Z105:AE105),SUM(T105:V105),SUM(W105:Y105),SUM(Z105:AB105),SUM(AC105:AE105)),0)</f>
        <v/>
      </c>
      <c r="AG105" t="inlineStr">
        <is>
          <t>Sistemas (desenvolvimento, hardware, software)</t>
        </is>
      </c>
      <c r="AH105">
        <f>IFERROR(CHOOSE(MATCH($AG$6,{"Ano Completo","1º Semestre","2º Semestre","1º Trimestre","2º Trimestre","3º Trimestre","4º Trimestre"},0),SUM(AI105:AT105),SUM(AI105:AN105),SUM(AO105:AT105),SUM(AI105:AK105),SUM(AL105:AN105),SUM(AO105:AQ105),SUM(AR105:AT105)),0)</f>
        <v/>
      </c>
      <c r="AI105" t="n">
        <v>11511</v>
      </c>
      <c r="AJ105" t="n">
        <v>2871</v>
      </c>
      <c r="AK105" t="n">
        <v>13722</v>
      </c>
      <c r="AL105" t="n">
        <v>6249</v>
      </c>
      <c r="AM105" t="n">
        <v>12369</v>
      </c>
      <c r="AN105" t="n">
        <v>1600</v>
      </c>
      <c r="AO105" t="n">
        <v>5309</v>
      </c>
      <c r="AP105" t="n">
        <v>2114</v>
      </c>
      <c r="AQ105" t="n">
        <v>5014</v>
      </c>
      <c r="AR105" t="n">
        <v>5559</v>
      </c>
      <c r="AS105" t="n">
        <v>9492</v>
      </c>
      <c r="AT105" t="n">
        <v>16484</v>
      </c>
      <c r="AW105" t="inlineStr">
        <is>
          <t>Sistemas (desenvolvimento, hardware, software)</t>
        </is>
      </c>
      <c r="AX105">
        <f>IFERROR(CHOOSE(MATCH($AW$6,{"Ano Completo","1º Semestre","2º Semestre","1º Trimestre","2º Trimestre","3º Trimestre","4º Trimestre"},0),SUM(AY105:BJ105),SUM(AY105:BD105),SUM(BE105:BJ105),SUM(AY105:BA105),SUM(BB105:BD105),SUM(BE105:BG105),SUM(BH105:BJ105)),0)</f>
        <v/>
      </c>
      <c r="AY105" t="n">
        <v>10594</v>
      </c>
      <c r="AZ105" t="n">
        <v>6100</v>
      </c>
      <c r="BA105" t="n">
        <v>4487</v>
      </c>
      <c r="BB105" t="n">
        <v>12318</v>
      </c>
      <c r="BC105" t="n">
        <v>12665</v>
      </c>
      <c r="BD105" t="n">
        <v>19995</v>
      </c>
      <c r="BE105" t="n">
        <v>9115</v>
      </c>
      <c r="BF105" t="n">
        <v>3018</v>
      </c>
      <c r="BG105" t="n">
        <v>7820</v>
      </c>
      <c r="BH105" t="n">
        <v>2049</v>
      </c>
      <c r="BI105" t="n">
        <v>19690</v>
      </c>
      <c r="BJ105" t="n">
        <v>15763</v>
      </c>
      <c r="BL105" t="inlineStr">
        <is>
          <t>Sistemas (desenvolvimento, hardware, software)</t>
        </is>
      </c>
      <c r="BM105">
        <f>IFERROR(CHOOSE(MATCH($BL$6,{"Ano Completo","1º Semestre","2º Semestre","1º Trimestre","2º Trimestre","3º Trimestre","4º Trimestre"},0),SUM(BN105:BY105),SUM(BN105:BS105),SUM(BT105:BY105),SUM(BN105:BP105),SUM(BQ105:BS105),SUM(BT105:BV105),SUM(BW105:BY105)),0)</f>
        <v/>
      </c>
      <c r="BN105" t="n">
        <v>11511</v>
      </c>
      <c r="BO105" t="n">
        <v>2871</v>
      </c>
      <c r="BP105" t="n">
        <v>13722</v>
      </c>
      <c r="BQ105" t="n">
        <v>6249</v>
      </c>
      <c r="BR105" t="n">
        <v>12369</v>
      </c>
      <c r="BS105" t="n">
        <v>1600</v>
      </c>
      <c r="BT105" t="n">
        <v>5309</v>
      </c>
      <c r="BU105" t="n">
        <v>2114</v>
      </c>
      <c r="BV105" t="n">
        <v>5014</v>
      </c>
      <c r="BW105" t="n">
        <v>5559</v>
      </c>
      <c r="BX105" t="n">
        <v>9492</v>
      </c>
      <c r="BY105" t="n">
        <v>16484</v>
      </c>
      <c r="CB105" t="inlineStr">
        <is>
          <t>Sistemas (desenvolvimento, hardware, software)</t>
        </is>
      </c>
      <c r="CC105">
        <f>IFERROR(CHOOSE(MATCH($CB$6,{"Ano Completo","1º Semestre","2º Semestre","1º Trimestre","2º Trimestre","3º Trimestre","4º Trimestre"},0),SUM(CD105:CO105),SUM(CD105:CI105),SUM(CJ105:CO105),SUM(CD105:CF105),SUM(CG105:CI105),SUM(CJ105:CL105),SUM(CM105:CO105)),0)</f>
        <v/>
      </c>
      <c r="CD105" t="n">
        <v>10594</v>
      </c>
      <c r="CE105" t="n">
        <v>6100</v>
      </c>
      <c r="CF105" t="n">
        <v>4487</v>
      </c>
      <c r="CG105" t="n">
        <v>12318</v>
      </c>
      <c r="CH105" t="n">
        <v>12665</v>
      </c>
      <c r="CI105" t="n">
        <v>19995</v>
      </c>
      <c r="CJ105" t="n">
        <v>9115</v>
      </c>
      <c r="CK105" t="n">
        <v>3018</v>
      </c>
      <c r="CL105" t="n">
        <v>7820</v>
      </c>
      <c r="CM105" t="n">
        <v>2049</v>
      </c>
      <c r="CN105" t="n">
        <v>19690</v>
      </c>
      <c r="CO105" t="n">
        <v>15763</v>
      </c>
      <c r="CQ105" t="inlineStr">
        <is>
          <t>Sistemas (desenvolvimento, hardware, software)</t>
        </is>
      </c>
      <c r="CR105">
        <f>IFERROR(CHOOSE(MATCH($CQ$6,{"Ano Completo","1º Semestre","2º Semestre","1º Trimestre","2º Trimestre","3º Trimestre","4º Trimestre"},0),SUM(CS105:DD105),SUM(CS105:CX105),SUM(CY105:DD105),SUM(CS105:CU105),SUM(CV105:CX105),SUM(CY105:DA105),SUM(DB105:DD105)),0)</f>
        <v/>
      </c>
      <c r="CS105" t="n">
        <v>11511</v>
      </c>
      <c r="CT105" t="n">
        <v>2871</v>
      </c>
      <c r="CU105" t="n">
        <v>13722</v>
      </c>
      <c r="CV105" t="n">
        <v>6249</v>
      </c>
      <c r="CW105" t="n">
        <v>12369</v>
      </c>
      <c r="CX105" t="n">
        <v>1600</v>
      </c>
      <c r="CY105" t="n">
        <v>5309</v>
      </c>
      <c r="CZ105" t="n">
        <v>2114</v>
      </c>
      <c r="DA105" t="n">
        <v>5014</v>
      </c>
      <c r="DB105" t="n">
        <v>5559</v>
      </c>
      <c r="DC105" t="n">
        <v>9492</v>
      </c>
      <c r="DD105" t="n">
        <v>16484</v>
      </c>
      <c r="DG105" t="inlineStr">
        <is>
          <t>Sistemas (desenvolvimento, hardware, software)</t>
        </is>
      </c>
      <c r="DH105">
        <f>IFERROR(CHOOSE(MATCH($DG$6,{"Ano Completo","1º Semestre","2º Semestre","1º Trimestre","2º Trimestre","3º Trimestre","4º Trimestre"},0),SUM(DI105:DT105),SUM(DI105:DN105),SUM(DO105:DT105),SUM(DI105:DK105),SUM(DL105:DN105),SUM(DO105:DQ105),SUM(DR105:DT105)),0)</f>
        <v/>
      </c>
      <c r="DI105" t="n">
        <v>10594</v>
      </c>
      <c r="DJ105" t="n">
        <v>6100</v>
      </c>
      <c r="DK105" t="n">
        <v>4487</v>
      </c>
      <c r="DL105" t="n">
        <v>12318</v>
      </c>
      <c r="DM105" t="n">
        <v>12665</v>
      </c>
      <c r="DN105" t="n">
        <v>19995</v>
      </c>
      <c r="DO105" t="n">
        <v>9115</v>
      </c>
      <c r="DP105" t="n">
        <v>3018</v>
      </c>
      <c r="DQ105" t="n">
        <v>7820</v>
      </c>
      <c r="DR105" t="n">
        <v>2049</v>
      </c>
      <c r="DS105" t="n">
        <v>19690</v>
      </c>
      <c r="DT105" t="n">
        <v>15763</v>
      </c>
      <c r="DV105" t="inlineStr">
        <is>
          <t>Sistemas (desenvolvimento, hardware, software)</t>
        </is>
      </c>
      <c r="DW105">
        <f>IFERROR(CHOOSE(MATCH($DV$6,{"Ano Completo","1º Semestre","2º Semestre","1º Trimestre","2º Trimestre","3º Trimestre","4º Trimestre"},0),SUM(DX105:EI105),SUM(DX105:EC105),SUM(ED105:EI105),SUM(DX105:DZ105),SUM(EA105:EC105),SUM(ED105:EF105),SUM(EG105:EI105)),0)</f>
        <v/>
      </c>
      <c r="DX105" t="n">
        <v>11511</v>
      </c>
      <c r="DY105" t="n">
        <v>2871</v>
      </c>
      <c r="DZ105" t="n">
        <v>13722</v>
      </c>
      <c r="EA105" t="n">
        <v>6249</v>
      </c>
      <c r="EB105" t="n">
        <v>12369</v>
      </c>
      <c r="EC105" t="n">
        <v>1600</v>
      </c>
      <c r="ED105" t="n">
        <v>5309</v>
      </c>
      <c r="EE105" t="n">
        <v>2114</v>
      </c>
      <c r="EF105" t="n">
        <v>5014</v>
      </c>
      <c r="EG105" t="n">
        <v>5559</v>
      </c>
      <c r="EH105" t="n">
        <v>9492</v>
      </c>
      <c r="EI105" t="n">
        <v>16484</v>
      </c>
      <c r="EL105" t="inlineStr">
        <is>
          <t>Sistemas (desenvolvimento, hardware, software)</t>
        </is>
      </c>
      <c r="EM105">
        <f>IFERROR(CHOOSE(MATCH($EL$6,{"Ano Completo","1º Semestre","2º Semestre","1º Trimestre","2º Trimestre","3º Trimestre","4º Trimestre"},0),SUM(EN105:EY105),SUM(EN105:ES105),SUM(ET105:EY105),SUM(EN105:EP105),SUM(EQ105:ES105),SUM(ET105:EV105),SUM(EW105:EY105)),0)</f>
        <v/>
      </c>
      <c r="EN105" t="n">
        <v>10594</v>
      </c>
      <c r="EO105" t="n">
        <v>6100</v>
      </c>
      <c r="EP105" t="n">
        <v>4487</v>
      </c>
      <c r="EQ105" t="n">
        <v>12318</v>
      </c>
      <c r="ER105" t="n">
        <v>12665</v>
      </c>
      <c r="ES105" t="n">
        <v>19995</v>
      </c>
      <c r="ET105" t="n">
        <v>9115</v>
      </c>
      <c r="EU105" t="n">
        <v>3018</v>
      </c>
      <c r="EV105" t="n">
        <v>7820</v>
      </c>
      <c r="EW105" t="n">
        <v>2049</v>
      </c>
      <c r="EX105" t="n">
        <v>19690</v>
      </c>
      <c r="EY105" t="n">
        <v>15763</v>
      </c>
    </row>
    <row r="106">
      <c r="B106" t="inlineStr">
        <is>
          <t>Recuperador de Ativos</t>
        </is>
      </c>
      <c r="C106">
        <f>IFERROR(CHOOSE(MATCH($B$6,{"Ano Completo","1º Semestre","2º Semestre","1º Trimestre","2º Trimestre","3º Trimestre","4º Trimestre"},0),SUM(D106:O106),SUM(D106:I106),SUM(J106:O106),SUM(D106:F106),SUM(G106:I106),SUM(J106:L106),SUM(M106:O106)),0)</f>
        <v/>
      </c>
      <c r="R106" t="inlineStr">
        <is>
          <t>Recuperador de Ativos</t>
        </is>
      </c>
      <c r="S106">
        <f>IFERROR(CHOOSE(MATCH($R$6,{"Ano Completo","1º Semestre","2º Semestre","1º Trimestre","2º Trimestre","3º Trimestre","4º Trimestre"},0),SUM(T106:AE106),SUM(T106:Y106),SUM(Z106:AE106),SUM(T106:V106),SUM(W106:Y106),SUM(Z106:AB106),SUM(AC106:AE106)),0)</f>
        <v/>
      </c>
      <c r="AG106" t="inlineStr">
        <is>
          <t>Recuperador de Ativos</t>
        </is>
      </c>
      <c r="AH106">
        <f>IFERROR(CHOOSE(MATCH($AG$6,{"Ano Completo","1º Semestre","2º Semestre","1º Trimestre","2º Trimestre","3º Trimestre","4º Trimestre"},0),SUM(AI106:AT106),SUM(AI106:AN106),SUM(AO106:AT106),SUM(AI106:AK106),SUM(AL106:AN106),SUM(AO106:AQ106),SUM(AR106:AT106)),0)</f>
        <v/>
      </c>
      <c r="AI106" t="n">
        <v>8598</v>
      </c>
      <c r="AJ106" t="n">
        <v>18423</v>
      </c>
      <c r="AK106" t="n">
        <v>5923</v>
      </c>
      <c r="AL106" t="n">
        <v>3262</v>
      </c>
      <c r="AM106" t="n">
        <v>16858</v>
      </c>
      <c r="AN106" t="n">
        <v>15771</v>
      </c>
      <c r="AO106" t="n">
        <v>18581</v>
      </c>
      <c r="AP106" t="n">
        <v>15197</v>
      </c>
      <c r="AQ106" t="n">
        <v>16414</v>
      </c>
      <c r="AR106" t="n">
        <v>1310</v>
      </c>
      <c r="AS106" t="n">
        <v>16851</v>
      </c>
      <c r="AT106" t="n">
        <v>15699</v>
      </c>
      <c r="AW106" t="inlineStr">
        <is>
          <t>Recuperador de Ativos</t>
        </is>
      </c>
      <c r="AX106">
        <f>IFERROR(CHOOSE(MATCH($AW$6,{"Ano Completo","1º Semestre","2º Semestre","1º Trimestre","2º Trimestre","3º Trimestre","4º Trimestre"},0),SUM(AY106:BJ106),SUM(AY106:BD106),SUM(BE106:BJ106),SUM(AY106:BA106),SUM(BB106:BD106),SUM(BE106:BG106),SUM(BH106:BJ106)),0)</f>
        <v/>
      </c>
      <c r="AY106" t="n">
        <v>17530</v>
      </c>
      <c r="AZ106" t="n">
        <v>6715</v>
      </c>
      <c r="BA106" t="n">
        <v>8399</v>
      </c>
      <c r="BB106" t="n">
        <v>17777</v>
      </c>
      <c r="BC106" t="n">
        <v>7782</v>
      </c>
      <c r="BD106" t="n">
        <v>9874</v>
      </c>
      <c r="BE106" t="n">
        <v>11036</v>
      </c>
      <c r="BF106" t="n">
        <v>5921</v>
      </c>
      <c r="BG106" t="n">
        <v>14892</v>
      </c>
      <c r="BH106" t="n">
        <v>10416</v>
      </c>
      <c r="BI106" t="n">
        <v>8902</v>
      </c>
      <c r="BJ106" t="n">
        <v>5049</v>
      </c>
      <c r="BL106" t="inlineStr">
        <is>
          <t>Recuperador de Ativos</t>
        </is>
      </c>
      <c r="BM106">
        <f>IFERROR(CHOOSE(MATCH($BL$6,{"Ano Completo","1º Semestre","2º Semestre","1º Trimestre","2º Trimestre","3º Trimestre","4º Trimestre"},0),SUM(BN106:BY106),SUM(BN106:BS106),SUM(BT106:BY106),SUM(BN106:BP106),SUM(BQ106:BS106),SUM(BT106:BV106),SUM(BW106:BY106)),0)</f>
        <v/>
      </c>
      <c r="BN106" t="n">
        <v>8598</v>
      </c>
      <c r="BO106" t="n">
        <v>18423</v>
      </c>
      <c r="BP106" t="n">
        <v>5923</v>
      </c>
      <c r="BQ106" t="n">
        <v>3262</v>
      </c>
      <c r="BR106" t="n">
        <v>16858</v>
      </c>
      <c r="BS106" t="n">
        <v>15771</v>
      </c>
      <c r="BT106" t="n">
        <v>18581</v>
      </c>
      <c r="BU106" t="n">
        <v>15197</v>
      </c>
      <c r="BV106" t="n">
        <v>16414</v>
      </c>
      <c r="BW106" t="n">
        <v>1310</v>
      </c>
      <c r="BX106" t="n">
        <v>16851</v>
      </c>
      <c r="BY106" t="n">
        <v>15699</v>
      </c>
      <c r="CB106" t="inlineStr">
        <is>
          <t>Recuperador de Ativos</t>
        </is>
      </c>
      <c r="CC106">
        <f>IFERROR(CHOOSE(MATCH($CB$6,{"Ano Completo","1º Semestre","2º Semestre","1º Trimestre","2º Trimestre","3º Trimestre","4º Trimestre"},0),SUM(CD106:CO106),SUM(CD106:CI106),SUM(CJ106:CO106),SUM(CD106:CF106),SUM(CG106:CI106),SUM(CJ106:CL106),SUM(CM106:CO106)),0)</f>
        <v/>
      </c>
      <c r="CD106" t="n">
        <v>17530</v>
      </c>
      <c r="CE106" t="n">
        <v>6715</v>
      </c>
      <c r="CF106" t="n">
        <v>8399</v>
      </c>
      <c r="CG106" t="n">
        <v>17777</v>
      </c>
      <c r="CH106" t="n">
        <v>7782</v>
      </c>
      <c r="CI106" t="n">
        <v>9874</v>
      </c>
      <c r="CJ106" t="n">
        <v>11036</v>
      </c>
      <c r="CK106" t="n">
        <v>5921</v>
      </c>
      <c r="CL106" t="n">
        <v>14892</v>
      </c>
      <c r="CM106" t="n">
        <v>10416</v>
      </c>
      <c r="CN106" t="n">
        <v>8902</v>
      </c>
      <c r="CO106" t="n">
        <v>5049</v>
      </c>
      <c r="CQ106" t="inlineStr">
        <is>
          <t>Recuperador de Ativos</t>
        </is>
      </c>
      <c r="CR106">
        <f>IFERROR(CHOOSE(MATCH($CQ$6,{"Ano Completo","1º Semestre","2º Semestre","1º Trimestre","2º Trimestre","3º Trimestre","4º Trimestre"},0),SUM(CS106:DD106),SUM(CS106:CX106),SUM(CY106:DD106),SUM(CS106:CU106),SUM(CV106:CX106),SUM(CY106:DA106),SUM(DB106:DD106)),0)</f>
        <v/>
      </c>
      <c r="CS106" t="n">
        <v>8598</v>
      </c>
      <c r="CT106" t="n">
        <v>18423</v>
      </c>
      <c r="CU106" t="n">
        <v>5923</v>
      </c>
      <c r="CV106" t="n">
        <v>3262</v>
      </c>
      <c r="CW106" t="n">
        <v>16858</v>
      </c>
      <c r="CX106" t="n">
        <v>15771</v>
      </c>
      <c r="CY106" t="n">
        <v>18581</v>
      </c>
      <c r="CZ106" t="n">
        <v>15197</v>
      </c>
      <c r="DA106" t="n">
        <v>16414</v>
      </c>
      <c r="DB106" t="n">
        <v>1310</v>
      </c>
      <c r="DC106" t="n">
        <v>16851</v>
      </c>
      <c r="DD106" t="n">
        <v>15699</v>
      </c>
      <c r="DG106" t="inlineStr">
        <is>
          <t>Recuperador de Ativos</t>
        </is>
      </c>
      <c r="DH106">
        <f>IFERROR(CHOOSE(MATCH($DG$6,{"Ano Completo","1º Semestre","2º Semestre","1º Trimestre","2º Trimestre","3º Trimestre","4º Trimestre"},0),SUM(DI106:DT106),SUM(DI106:DN106),SUM(DO106:DT106),SUM(DI106:DK106),SUM(DL106:DN106),SUM(DO106:DQ106),SUM(DR106:DT106)),0)</f>
        <v/>
      </c>
      <c r="DI106" t="n">
        <v>17530</v>
      </c>
      <c r="DJ106" t="n">
        <v>6715</v>
      </c>
      <c r="DK106" t="n">
        <v>8399</v>
      </c>
      <c r="DL106" t="n">
        <v>17777</v>
      </c>
      <c r="DM106" t="n">
        <v>7782</v>
      </c>
      <c r="DN106" t="n">
        <v>9874</v>
      </c>
      <c r="DO106" t="n">
        <v>11036</v>
      </c>
      <c r="DP106" t="n">
        <v>5921</v>
      </c>
      <c r="DQ106" t="n">
        <v>14892</v>
      </c>
      <c r="DR106" t="n">
        <v>10416</v>
      </c>
      <c r="DS106" t="n">
        <v>8902</v>
      </c>
      <c r="DT106" t="n">
        <v>5049</v>
      </c>
      <c r="DV106" t="inlineStr">
        <is>
          <t>Recuperador de Ativos</t>
        </is>
      </c>
      <c r="DW106">
        <f>IFERROR(CHOOSE(MATCH($DV$6,{"Ano Completo","1º Semestre","2º Semestre","1º Trimestre","2º Trimestre","3º Trimestre","4º Trimestre"},0),SUM(DX106:EI106),SUM(DX106:EC106),SUM(ED106:EI106),SUM(DX106:DZ106),SUM(EA106:EC106),SUM(ED106:EF106),SUM(EG106:EI106)),0)</f>
        <v/>
      </c>
      <c r="DX106" t="n">
        <v>8598</v>
      </c>
      <c r="DY106" t="n">
        <v>18423</v>
      </c>
      <c r="DZ106" t="n">
        <v>5923</v>
      </c>
      <c r="EA106" t="n">
        <v>3262</v>
      </c>
      <c r="EB106" t="n">
        <v>16858</v>
      </c>
      <c r="EC106" t="n">
        <v>15771</v>
      </c>
      <c r="ED106" t="n">
        <v>18581</v>
      </c>
      <c r="EE106" t="n">
        <v>15197</v>
      </c>
      <c r="EF106" t="n">
        <v>16414</v>
      </c>
      <c r="EG106" t="n">
        <v>1310</v>
      </c>
      <c r="EH106" t="n">
        <v>16851</v>
      </c>
      <c r="EI106" t="n">
        <v>15699</v>
      </c>
      <c r="EL106" t="inlineStr">
        <is>
          <t>Recuperador de Ativos</t>
        </is>
      </c>
      <c r="EM106">
        <f>IFERROR(CHOOSE(MATCH($EL$6,{"Ano Completo","1º Semestre","2º Semestre","1º Trimestre","2º Trimestre","3º Trimestre","4º Trimestre"},0),SUM(EN106:EY106),SUM(EN106:ES106),SUM(ET106:EY106),SUM(EN106:EP106),SUM(EQ106:ES106),SUM(ET106:EV106),SUM(EW106:EY106)),0)</f>
        <v/>
      </c>
      <c r="EN106" t="n">
        <v>17530</v>
      </c>
      <c r="EO106" t="n">
        <v>6715</v>
      </c>
      <c r="EP106" t="n">
        <v>8399</v>
      </c>
      <c r="EQ106" t="n">
        <v>17777</v>
      </c>
      <c r="ER106" t="n">
        <v>7782</v>
      </c>
      <c r="ES106" t="n">
        <v>9874</v>
      </c>
      <c r="ET106" t="n">
        <v>11036</v>
      </c>
      <c r="EU106" t="n">
        <v>5921</v>
      </c>
      <c r="EV106" t="n">
        <v>14892</v>
      </c>
      <c r="EW106" t="n">
        <v>10416</v>
      </c>
      <c r="EX106" t="n">
        <v>8902</v>
      </c>
      <c r="EY106" t="n">
        <v>5049</v>
      </c>
    </row>
    <row r="107">
      <c r="B107" t="inlineStr">
        <is>
          <t>Notificações</t>
        </is>
      </c>
      <c r="C107">
        <f>IFERROR(CHOOSE(MATCH($B$6,{"Ano Completo","1º Semestre","2º Semestre","1º Trimestre","2º Trimestre","3º Trimestre","4º Trimestre"},0),SUM(D107:O107),SUM(D107:I107),SUM(J107:O107),SUM(D107:F107),SUM(G107:I107),SUM(J107:L107),SUM(M107:O107)),0)</f>
        <v/>
      </c>
      <c r="R107" t="inlineStr">
        <is>
          <t>Notificações</t>
        </is>
      </c>
      <c r="S107">
        <f>IFERROR(CHOOSE(MATCH($R$6,{"Ano Completo","1º Semestre","2º Semestre","1º Trimestre","2º Trimestre","3º Trimestre","4º Trimestre"},0),SUM(T107:AE107),SUM(T107:Y107),SUM(Z107:AE107),SUM(T107:V107),SUM(W107:Y107),SUM(Z107:AB107),SUM(AC107:AE107)),0)</f>
        <v/>
      </c>
      <c r="AG107" t="inlineStr">
        <is>
          <t>Notificações</t>
        </is>
      </c>
      <c r="AH107">
        <f>IFERROR(CHOOSE(MATCH($AG$6,{"Ano Completo","1º Semestre","2º Semestre","1º Trimestre","2º Trimestre","3º Trimestre","4º Trimestre"},0),SUM(AI107:AT107),SUM(AI107:AN107),SUM(AO107:AT107),SUM(AI107:AK107),SUM(AL107:AN107),SUM(AO107:AQ107),SUM(AR107:AT107)),0)</f>
        <v/>
      </c>
      <c r="AI107" t="n">
        <v>15821</v>
      </c>
      <c r="AJ107" t="n">
        <v>1952</v>
      </c>
      <c r="AK107" t="n">
        <v>17551</v>
      </c>
      <c r="AL107" t="n">
        <v>12411</v>
      </c>
      <c r="AM107" t="n">
        <v>14004</v>
      </c>
      <c r="AN107" t="n">
        <v>7851</v>
      </c>
      <c r="AO107" t="n">
        <v>15513</v>
      </c>
      <c r="AP107" t="n">
        <v>16383</v>
      </c>
      <c r="AQ107" t="n">
        <v>16561</v>
      </c>
      <c r="AR107" t="n">
        <v>19647</v>
      </c>
      <c r="AS107" t="n">
        <v>19869</v>
      </c>
      <c r="AT107" t="n">
        <v>15877</v>
      </c>
      <c r="AW107" t="inlineStr">
        <is>
          <t>Notificações</t>
        </is>
      </c>
      <c r="AX107">
        <f>IFERROR(CHOOSE(MATCH($AW$6,{"Ano Completo","1º Semestre","2º Semestre","1º Trimestre","2º Trimestre","3º Trimestre","4º Trimestre"},0),SUM(AY107:BJ107),SUM(AY107:BD107),SUM(BE107:BJ107),SUM(AY107:BA107),SUM(BB107:BD107),SUM(BE107:BG107),SUM(BH107:BJ107)),0)</f>
        <v/>
      </c>
      <c r="AY107" t="n">
        <v>17503</v>
      </c>
      <c r="AZ107" t="n">
        <v>6367</v>
      </c>
      <c r="BA107" t="n">
        <v>5292</v>
      </c>
      <c r="BB107" t="n">
        <v>3543</v>
      </c>
      <c r="BC107" t="n">
        <v>13267</v>
      </c>
      <c r="BD107" t="n">
        <v>15610</v>
      </c>
      <c r="BE107" t="n">
        <v>8092</v>
      </c>
      <c r="BF107" t="n">
        <v>7894</v>
      </c>
      <c r="BG107" t="n">
        <v>19401</v>
      </c>
      <c r="BH107" t="n">
        <v>5008</v>
      </c>
      <c r="BI107" t="n">
        <v>11104</v>
      </c>
      <c r="BJ107" t="n">
        <v>10440</v>
      </c>
      <c r="BL107" t="inlineStr">
        <is>
          <t>Notificações</t>
        </is>
      </c>
      <c r="BM107">
        <f>IFERROR(CHOOSE(MATCH($BL$6,{"Ano Completo","1º Semestre","2º Semestre","1º Trimestre","2º Trimestre","3º Trimestre","4º Trimestre"},0),SUM(BN107:BY107),SUM(BN107:BS107),SUM(BT107:BY107),SUM(BN107:BP107),SUM(BQ107:BS107),SUM(BT107:BV107),SUM(BW107:BY107)),0)</f>
        <v/>
      </c>
      <c r="BN107" t="n">
        <v>15821</v>
      </c>
      <c r="BO107" t="n">
        <v>1952</v>
      </c>
      <c r="BP107" t="n">
        <v>17551</v>
      </c>
      <c r="BQ107" t="n">
        <v>12411</v>
      </c>
      <c r="BR107" t="n">
        <v>14004</v>
      </c>
      <c r="BS107" t="n">
        <v>7851</v>
      </c>
      <c r="BT107" t="n">
        <v>15513</v>
      </c>
      <c r="BU107" t="n">
        <v>16383</v>
      </c>
      <c r="BV107" t="n">
        <v>16561</v>
      </c>
      <c r="BW107" t="n">
        <v>19647</v>
      </c>
      <c r="BX107" t="n">
        <v>19869</v>
      </c>
      <c r="BY107" t="n">
        <v>15877</v>
      </c>
      <c r="CB107" t="inlineStr">
        <is>
          <t>Notificações</t>
        </is>
      </c>
      <c r="CC107">
        <f>IFERROR(CHOOSE(MATCH($CB$6,{"Ano Completo","1º Semestre","2º Semestre","1º Trimestre","2º Trimestre","3º Trimestre","4º Trimestre"},0),SUM(CD107:CO107),SUM(CD107:CI107),SUM(CJ107:CO107),SUM(CD107:CF107),SUM(CG107:CI107),SUM(CJ107:CL107),SUM(CM107:CO107)),0)</f>
        <v/>
      </c>
      <c r="CD107" t="n">
        <v>17503</v>
      </c>
      <c r="CE107" t="n">
        <v>6367</v>
      </c>
      <c r="CF107" t="n">
        <v>5292</v>
      </c>
      <c r="CG107" t="n">
        <v>3543</v>
      </c>
      <c r="CH107" t="n">
        <v>13267</v>
      </c>
      <c r="CI107" t="n">
        <v>15610</v>
      </c>
      <c r="CJ107" t="n">
        <v>8092</v>
      </c>
      <c r="CK107" t="n">
        <v>7894</v>
      </c>
      <c r="CL107" t="n">
        <v>19401</v>
      </c>
      <c r="CM107" t="n">
        <v>5008</v>
      </c>
      <c r="CN107" t="n">
        <v>11104</v>
      </c>
      <c r="CO107" t="n">
        <v>10440</v>
      </c>
      <c r="CQ107" t="inlineStr">
        <is>
          <t>Notificações</t>
        </is>
      </c>
      <c r="CR107">
        <f>IFERROR(CHOOSE(MATCH($CQ$6,{"Ano Completo","1º Semestre","2º Semestre","1º Trimestre","2º Trimestre","3º Trimestre","4º Trimestre"},0),SUM(CS107:DD107),SUM(CS107:CX107),SUM(CY107:DD107),SUM(CS107:CU107),SUM(CV107:CX107),SUM(CY107:DA107),SUM(DB107:DD107)),0)</f>
        <v/>
      </c>
      <c r="CS107" t="n">
        <v>15821</v>
      </c>
      <c r="CT107" t="n">
        <v>1952</v>
      </c>
      <c r="CU107" t="n">
        <v>17551</v>
      </c>
      <c r="CV107" t="n">
        <v>12411</v>
      </c>
      <c r="CW107" t="n">
        <v>14004</v>
      </c>
      <c r="CX107" t="n">
        <v>7851</v>
      </c>
      <c r="CY107" t="n">
        <v>15513</v>
      </c>
      <c r="CZ107" t="n">
        <v>16383</v>
      </c>
      <c r="DA107" t="n">
        <v>16561</v>
      </c>
      <c r="DB107" t="n">
        <v>19647</v>
      </c>
      <c r="DC107" t="n">
        <v>19869</v>
      </c>
      <c r="DD107" t="n">
        <v>15877</v>
      </c>
      <c r="DG107" t="inlineStr">
        <is>
          <t>Notificações</t>
        </is>
      </c>
      <c r="DH107">
        <f>IFERROR(CHOOSE(MATCH($DG$6,{"Ano Completo","1º Semestre","2º Semestre","1º Trimestre","2º Trimestre","3º Trimestre","4º Trimestre"},0),SUM(DI107:DT107),SUM(DI107:DN107),SUM(DO107:DT107),SUM(DI107:DK107),SUM(DL107:DN107),SUM(DO107:DQ107),SUM(DR107:DT107)),0)</f>
        <v/>
      </c>
      <c r="DI107" t="n">
        <v>17503</v>
      </c>
      <c r="DJ107" t="n">
        <v>6367</v>
      </c>
      <c r="DK107" t="n">
        <v>5292</v>
      </c>
      <c r="DL107" t="n">
        <v>3543</v>
      </c>
      <c r="DM107" t="n">
        <v>13267</v>
      </c>
      <c r="DN107" t="n">
        <v>15610</v>
      </c>
      <c r="DO107" t="n">
        <v>8092</v>
      </c>
      <c r="DP107" t="n">
        <v>7894</v>
      </c>
      <c r="DQ107" t="n">
        <v>19401</v>
      </c>
      <c r="DR107" t="n">
        <v>5008</v>
      </c>
      <c r="DS107" t="n">
        <v>11104</v>
      </c>
      <c r="DT107" t="n">
        <v>10440</v>
      </c>
      <c r="DV107" t="inlineStr">
        <is>
          <t>Notificações</t>
        </is>
      </c>
      <c r="DW107">
        <f>IFERROR(CHOOSE(MATCH($DV$6,{"Ano Completo","1º Semestre","2º Semestre","1º Trimestre","2º Trimestre","3º Trimestre","4º Trimestre"},0),SUM(DX107:EI107),SUM(DX107:EC107),SUM(ED107:EI107),SUM(DX107:DZ107),SUM(EA107:EC107),SUM(ED107:EF107),SUM(EG107:EI107)),0)</f>
        <v/>
      </c>
      <c r="DX107" t="n">
        <v>15821</v>
      </c>
      <c r="DY107" t="n">
        <v>1952</v>
      </c>
      <c r="DZ107" t="n">
        <v>17551</v>
      </c>
      <c r="EA107" t="n">
        <v>12411</v>
      </c>
      <c r="EB107" t="n">
        <v>14004</v>
      </c>
      <c r="EC107" t="n">
        <v>7851</v>
      </c>
      <c r="ED107" t="n">
        <v>15513</v>
      </c>
      <c r="EE107" t="n">
        <v>16383</v>
      </c>
      <c r="EF107" t="n">
        <v>16561</v>
      </c>
      <c r="EG107" t="n">
        <v>19647</v>
      </c>
      <c r="EH107" t="n">
        <v>19869</v>
      </c>
      <c r="EI107" t="n">
        <v>15877</v>
      </c>
      <c r="EL107" t="inlineStr">
        <is>
          <t>Notificações</t>
        </is>
      </c>
      <c r="EM107">
        <f>IFERROR(CHOOSE(MATCH($EL$6,{"Ano Completo","1º Semestre","2º Semestre","1º Trimestre","2º Trimestre","3º Trimestre","4º Trimestre"},0),SUM(EN107:EY107),SUM(EN107:ES107),SUM(ET107:EY107),SUM(EN107:EP107),SUM(EQ107:ES107),SUM(ET107:EV107),SUM(EW107:EY107)),0)</f>
        <v/>
      </c>
      <c r="EN107" t="n">
        <v>17503</v>
      </c>
      <c r="EO107" t="n">
        <v>6367</v>
      </c>
      <c r="EP107" t="n">
        <v>5292</v>
      </c>
      <c r="EQ107" t="n">
        <v>3543</v>
      </c>
      <c r="ER107" t="n">
        <v>13267</v>
      </c>
      <c r="ES107" t="n">
        <v>15610</v>
      </c>
      <c r="ET107" t="n">
        <v>8092</v>
      </c>
      <c r="EU107" t="n">
        <v>7894</v>
      </c>
      <c r="EV107" t="n">
        <v>19401</v>
      </c>
      <c r="EW107" t="n">
        <v>5008</v>
      </c>
      <c r="EX107" t="n">
        <v>11104</v>
      </c>
      <c r="EY107" t="n">
        <v>10440</v>
      </c>
    </row>
    <row r="108">
      <c r="B108" t="inlineStr">
        <is>
          <t>Serviços de Higienização</t>
        </is>
      </c>
      <c r="C108">
        <f>IFERROR(CHOOSE(MATCH($B$6,{"Ano Completo","1º Semestre","2º Semestre","1º Trimestre","2º Trimestre","3º Trimestre","4º Trimestre"},0),SUM(D108:O108),SUM(D108:I108),SUM(J108:O108),SUM(D108:F108),SUM(G108:I108),SUM(J108:L108),SUM(M108:O108)),0)</f>
        <v/>
      </c>
      <c r="R108" t="inlineStr">
        <is>
          <t>Serviços de Higienização</t>
        </is>
      </c>
      <c r="S108">
        <f>IFERROR(CHOOSE(MATCH($R$6,{"Ano Completo","1º Semestre","2º Semestre","1º Trimestre","2º Trimestre","3º Trimestre","4º Trimestre"},0),SUM(T108:AE108),SUM(T108:Y108),SUM(Z108:AE108),SUM(T108:V108),SUM(W108:Y108),SUM(Z108:AB108),SUM(AC108:AE108)),0)</f>
        <v/>
      </c>
      <c r="AG108" t="inlineStr">
        <is>
          <t>Serviços de Higienização</t>
        </is>
      </c>
      <c r="AH108">
        <f>IFERROR(CHOOSE(MATCH($AG$6,{"Ano Completo","1º Semestre","2º Semestre","1º Trimestre","2º Trimestre","3º Trimestre","4º Trimestre"},0),SUM(AI108:AT108),SUM(AI108:AN108),SUM(AO108:AT108),SUM(AI108:AK108),SUM(AL108:AN108),SUM(AO108:AQ108),SUM(AR108:AT108)),0)</f>
        <v/>
      </c>
      <c r="AI108" t="n">
        <v>10190</v>
      </c>
      <c r="AJ108" t="n">
        <v>14019</v>
      </c>
      <c r="AK108" t="n">
        <v>10779</v>
      </c>
      <c r="AL108" t="n">
        <v>14282</v>
      </c>
      <c r="AM108" t="n">
        <v>4445</v>
      </c>
      <c r="AN108" t="n">
        <v>17632</v>
      </c>
      <c r="AO108" t="n">
        <v>5966</v>
      </c>
      <c r="AP108" t="n">
        <v>1945</v>
      </c>
      <c r="AQ108" t="n">
        <v>14387</v>
      </c>
      <c r="AR108" t="n">
        <v>4665</v>
      </c>
      <c r="AS108" t="n">
        <v>13417</v>
      </c>
      <c r="AT108" t="n">
        <v>1556</v>
      </c>
      <c r="AW108" t="inlineStr">
        <is>
          <t>Serviços de Higienização</t>
        </is>
      </c>
      <c r="AX108">
        <f>IFERROR(CHOOSE(MATCH($AW$6,{"Ano Completo","1º Semestre","2º Semestre","1º Trimestre","2º Trimestre","3º Trimestre","4º Trimestre"},0),SUM(AY108:BJ108),SUM(AY108:BD108),SUM(BE108:BJ108),SUM(AY108:BA108),SUM(BB108:BD108),SUM(BE108:BG108),SUM(BH108:BJ108)),0)</f>
        <v/>
      </c>
      <c r="AY108" t="n">
        <v>19887</v>
      </c>
      <c r="AZ108" t="n">
        <v>15526</v>
      </c>
      <c r="BA108" t="n">
        <v>18075</v>
      </c>
      <c r="BB108" t="n">
        <v>7796</v>
      </c>
      <c r="BC108" t="n">
        <v>9622</v>
      </c>
      <c r="BD108" t="n">
        <v>8471</v>
      </c>
      <c r="BE108" t="n">
        <v>14321</v>
      </c>
      <c r="BF108" t="n">
        <v>14222</v>
      </c>
      <c r="BG108" t="n">
        <v>18135</v>
      </c>
      <c r="BH108" t="n">
        <v>2601</v>
      </c>
      <c r="BI108" t="n">
        <v>10583</v>
      </c>
      <c r="BJ108" t="n">
        <v>18034</v>
      </c>
      <c r="BL108" t="inlineStr">
        <is>
          <t>Serviços de Higienização</t>
        </is>
      </c>
      <c r="BM108">
        <f>IFERROR(CHOOSE(MATCH($BL$6,{"Ano Completo","1º Semestre","2º Semestre","1º Trimestre","2º Trimestre","3º Trimestre","4º Trimestre"},0),SUM(BN108:BY108),SUM(BN108:BS108),SUM(BT108:BY108),SUM(BN108:BP108),SUM(BQ108:BS108),SUM(BT108:BV108),SUM(BW108:BY108)),0)</f>
        <v/>
      </c>
      <c r="BN108" t="n">
        <v>10190</v>
      </c>
      <c r="BO108" t="n">
        <v>14019</v>
      </c>
      <c r="BP108" t="n">
        <v>10779</v>
      </c>
      <c r="BQ108" t="n">
        <v>14282</v>
      </c>
      <c r="BR108" t="n">
        <v>4445</v>
      </c>
      <c r="BS108" t="n">
        <v>17632</v>
      </c>
      <c r="BT108" t="n">
        <v>5966</v>
      </c>
      <c r="BU108" t="n">
        <v>1945</v>
      </c>
      <c r="BV108" t="n">
        <v>14387</v>
      </c>
      <c r="BW108" t="n">
        <v>4665</v>
      </c>
      <c r="BX108" t="n">
        <v>13417</v>
      </c>
      <c r="BY108" t="n">
        <v>1556</v>
      </c>
      <c r="CB108" t="inlineStr">
        <is>
          <t>Serviços de Higienização</t>
        </is>
      </c>
      <c r="CC108">
        <f>IFERROR(CHOOSE(MATCH($CB$6,{"Ano Completo","1º Semestre","2º Semestre","1º Trimestre","2º Trimestre","3º Trimestre","4º Trimestre"},0),SUM(CD108:CO108),SUM(CD108:CI108),SUM(CJ108:CO108),SUM(CD108:CF108),SUM(CG108:CI108),SUM(CJ108:CL108),SUM(CM108:CO108)),0)</f>
        <v/>
      </c>
      <c r="CD108" t="n">
        <v>19887</v>
      </c>
      <c r="CE108" t="n">
        <v>15526</v>
      </c>
      <c r="CF108" t="n">
        <v>18075</v>
      </c>
      <c r="CG108" t="n">
        <v>7796</v>
      </c>
      <c r="CH108" t="n">
        <v>9622</v>
      </c>
      <c r="CI108" t="n">
        <v>8471</v>
      </c>
      <c r="CJ108" t="n">
        <v>14321</v>
      </c>
      <c r="CK108" t="n">
        <v>14222</v>
      </c>
      <c r="CL108" t="n">
        <v>18135</v>
      </c>
      <c r="CM108" t="n">
        <v>2601</v>
      </c>
      <c r="CN108" t="n">
        <v>10583</v>
      </c>
      <c r="CO108" t="n">
        <v>18034</v>
      </c>
      <c r="CQ108" t="inlineStr">
        <is>
          <t>Serviços de Higienização</t>
        </is>
      </c>
      <c r="CR108">
        <f>IFERROR(CHOOSE(MATCH($CQ$6,{"Ano Completo","1º Semestre","2º Semestre","1º Trimestre","2º Trimestre","3º Trimestre","4º Trimestre"},0),SUM(CS108:DD108),SUM(CS108:CX108),SUM(CY108:DD108),SUM(CS108:CU108),SUM(CV108:CX108),SUM(CY108:DA108),SUM(DB108:DD108)),0)</f>
        <v/>
      </c>
      <c r="CS108" t="n">
        <v>10190</v>
      </c>
      <c r="CT108" t="n">
        <v>14019</v>
      </c>
      <c r="CU108" t="n">
        <v>10779</v>
      </c>
      <c r="CV108" t="n">
        <v>14282</v>
      </c>
      <c r="CW108" t="n">
        <v>4445</v>
      </c>
      <c r="CX108" t="n">
        <v>17632</v>
      </c>
      <c r="CY108" t="n">
        <v>5966</v>
      </c>
      <c r="CZ108" t="n">
        <v>1945</v>
      </c>
      <c r="DA108" t="n">
        <v>14387</v>
      </c>
      <c r="DB108" t="n">
        <v>4665</v>
      </c>
      <c r="DC108" t="n">
        <v>13417</v>
      </c>
      <c r="DD108" t="n">
        <v>1556</v>
      </c>
      <c r="DG108" t="inlineStr">
        <is>
          <t>Serviços de Higienização</t>
        </is>
      </c>
      <c r="DH108">
        <f>IFERROR(CHOOSE(MATCH($DG$6,{"Ano Completo","1º Semestre","2º Semestre","1º Trimestre","2º Trimestre","3º Trimestre","4º Trimestre"},0),SUM(DI108:DT108),SUM(DI108:DN108),SUM(DO108:DT108),SUM(DI108:DK108),SUM(DL108:DN108),SUM(DO108:DQ108),SUM(DR108:DT108)),0)</f>
        <v/>
      </c>
      <c r="DI108" t="n">
        <v>19887</v>
      </c>
      <c r="DJ108" t="n">
        <v>15526</v>
      </c>
      <c r="DK108" t="n">
        <v>18075</v>
      </c>
      <c r="DL108" t="n">
        <v>7796</v>
      </c>
      <c r="DM108" t="n">
        <v>9622</v>
      </c>
      <c r="DN108" t="n">
        <v>8471</v>
      </c>
      <c r="DO108" t="n">
        <v>14321</v>
      </c>
      <c r="DP108" t="n">
        <v>14222</v>
      </c>
      <c r="DQ108" t="n">
        <v>18135</v>
      </c>
      <c r="DR108" t="n">
        <v>2601</v>
      </c>
      <c r="DS108" t="n">
        <v>10583</v>
      </c>
      <c r="DT108" t="n">
        <v>18034</v>
      </c>
      <c r="DV108" t="inlineStr">
        <is>
          <t>Serviços de Higienização</t>
        </is>
      </c>
      <c r="DW108">
        <f>IFERROR(CHOOSE(MATCH($DV$6,{"Ano Completo","1º Semestre","2º Semestre","1º Trimestre","2º Trimestre","3º Trimestre","4º Trimestre"},0),SUM(DX108:EI108),SUM(DX108:EC108),SUM(ED108:EI108),SUM(DX108:DZ108),SUM(EA108:EC108),SUM(ED108:EF108),SUM(EG108:EI108)),0)</f>
        <v/>
      </c>
      <c r="DX108" t="n">
        <v>10190</v>
      </c>
      <c r="DY108" t="n">
        <v>14019</v>
      </c>
      <c r="DZ108" t="n">
        <v>10779</v>
      </c>
      <c r="EA108" t="n">
        <v>14282</v>
      </c>
      <c r="EB108" t="n">
        <v>4445</v>
      </c>
      <c r="EC108" t="n">
        <v>17632</v>
      </c>
      <c r="ED108" t="n">
        <v>5966</v>
      </c>
      <c r="EE108" t="n">
        <v>1945</v>
      </c>
      <c r="EF108" t="n">
        <v>14387</v>
      </c>
      <c r="EG108" t="n">
        <v>4665</v>
      </c>
      <c r="EH108" t="n">
        <v>13417</v>
      </c>
      <c r="EI108" t="n">
        <v>1556</v>
      </c>
      <c r="EL108" t="inlineStr">
        <is>
          <t>Serviços de Higienização</t>
        </is>
      </c>
      <c r="EM108">
        <f>IFERROR(CHOOSE(MATCH($EL$6,{"Ano Completo","1º Semestre","2º Semestre","1º Trimestre","2º Trimestre","3º Trimestre","4º Trimestre"},0),SUM(EN108:EY108),SUM(EN108:ES108),SUM(ET108:EY108),SUM(EN108:EP108),SUM(EQ108:ES108),SUM(ET108:EV108),SUM(EW108:EY108)),0)</f>
        <v/>
      </c>
      <c r="EN108" t="n">
        <v>19887</v>
      </c>
      <c r="EO108" t="n">
        <v>15526</v>
      </c>
      <c r="EP108" t="n">
        <v>18075</v>
      </c>
      <c r="EQ108" t="n">
        <v>7796</v>
      </c>
      <c r="ER108" t="n">
        <v>9622</v>
      </c>
      <c r="ES108" t="n">
        <v>8471</v>
      </c>
      <c r="ET108" t="n">
        <v>14321</v>
      </c>
      <c r="EU108" t="n">
        <v>14222</v>
      </c>
      <c r="EV108" t="n">
        <v>18135</v>
      </c>
      <c r="EW108" t="n">
        <v>2601</v>
      </c>
      <c r="EX108" t="n">
        <v>10583</v>
      </c>
      <c r="EY108" t="n">
        <v>18034</v>
      </c>
    </row>
    <row r="109">
      <c r="B109" t="inlineStr">
        <is>
          <t>URA</t>
        </is>
      </c>
      <c r="C109">
        <f>IFERROR(CHOOSE(MATCH($B$6,{"Ano Completo","1º Semestre","2º Semestre","1º Trimestre","2º Trimestre","3º Trimestre","4º Trimestre"},0),SUM(D109:O109),SUM(D109:I109),SUM(J109:O109),SUM(D109:F109),SUM(G109:I109),SUM(J109:L109),SUM(M109:O109)),0)</f>
        <v/>
      </c>
      <c r="R109" t="inlineStr">
        <is>
          <t>URA</t>
        </is>
      </c>
      <c r="S109">
        <f>IFERROR(CHOOSE(MATCH($R$6,{"Ano Completo","1º Semestre","2º Semestre","1º Trimestre","2º Trimestre","3º Trimestre","4º Trimestre"},0),SUM(T109:AE109),SUM(T109:Y109),SUM(Z109:AE109),SUM(T109:V109),SUM(W109:Y109),SUM(Z109:AB109),SUM(AC109:AE109)),0)</f>
        <v/>
      </c>
      <c r="AG109" t="inlineStr">
        <is>
          <t>URA</t>
        </is>
      </c>
      <c r="AH109">
        <f>IFERROR(CHOOSE(MATCH($AG$6,{"Ano Completo","1º Semestre","2º Semestre","1º Trimestre","2º Trimestre","3º Trimestre","4º Trimestre"},0),SUM(AI109:AT109),SUM(AI109:AN109),SUM(AO109:AT109),SUM(AI109:AK109),SUM(AL109:AN109),SUM(AO109:AQ109),SUM(AR109:AT109)),0)</f>
        <v/>
      </c>
      <c r="AI109" t="n">
        <v>14758</v>
      </c>
      <c r="AJ109" t="n">
        <v>11484</v>
      </c>
      <c r="AK109" t="n">
        <v>4776</v>
      </c>
      <c r="AL109" t="n">
        <v>12199</v>
      </c>
      <c r="AM109" t="n">
        <v>19818</v>
      </c>
      <c r="AN109" t="n">
        <v>10254</v>
      </c>
      <c r="AO109" t="n">
        <v>1496</v>
      </c>
      <c r="AP109" t="n">
        <v>15578</v>
      </c>
      <c r="AQ109" t="n">
        <v>4625</v>
      </c>
      <c r="AR109" t="n">
        <v>18682</v>
      </c>
      <c r="AS109" t="n">
        <v>8873</v>
      </c>
      <c r="AT109" t="n">
        <v>11582</v>
      </c>
      <c r="AW109" t="inlineStr">
        <is>
          <t>URA</t>
        </is>
      </c>
      <c r="AX109">
        <f>IFERROR(CHOOSE(MATCH($AW$6,{"Ano Completo","1º Semestre","2º Semestre","1º Trimestre","2º Trimestre","3º Trimestre","4º Trimestre"},0),SUM(AY109:BJ109),SUM(AY109:BD109),SUM(BE109:BJ109),SUM(AY109:BA109),SUM(BB109:BD109),SUM(BE109:BG109),SUM(BH109:BJ109)),0)</f>
        <v/>
      </c>
      <c r="AY109" t="n">
        <v>15713</v>
      </c>
      <c r="AZ109" t="n">
        <v>8307</v>
      </c>
      <c r="BA109" t="n">
        <v>8617</v>
      </c>
      <c r="BB109" t="n">
        <v>6933</v>
      </c>
      <c r="BC109" t="n">
        <v>17672</v>
      </c>
      <c r="BD109" t="n">
        <v>3907</v>
      </c>
      <c r="BE109" t="n">
        <v>15051</v>
      </c>
      <c r="BF109" t="n">
        <v>13003</v>
      </c>
      <c r="BG109" t="n">
        <v>3709</v>
      </c>
      <c r="BH109" t="n">
        <v>18227</v>
      </c>
      <c r="BI109" t="n">
        <v>18240</v>
      </c>
      <c r="BJ109" t="n">
        <v>1542</v>
      </c>
      <c r="BL109" t="inlineStr">
        <is>
          <t>URA</t>
        </is>
      </c>
      <c r="BM109">
        <f>IFERROR(CHOOSE(MATCH($BL$6,{"Ano Completo","1º Semestre","2º Semestre","1º Trimestre","2º Trimestre","3º Trimestre","4º Trimestre"},0),SUM(BN109:BY109),SUM(BN109:BS109),SUM(BT109:BY109),SUM(BN109:BP109),SUM(BQ109:BS109),SUM(BT109:BV109),SUM(BW109:BY109)),0)</f>
        <v/>
      </c>
      <c r="BN109" t="n">
        <v>14758</v>
      </c>
      <c r="BO109" t="n">
        <v>11484</v>
      </c>
      <c r="BP109" t="n">
        <v>4776</v>
      </c>
      <c r="BQ109" t="n">
        <v>12199</v>
      </c>
      <c r="BR109" t="n">
        <v>19818</v>
      </c>
      <c r="BS109" t="n">
        <v>10254</v>
      </c>
      <c r="BT109" t="n">
        <v>1496</v>
      </c>
      <c r="BU109" t="n">
        <v>15578</v>
      </c>
      <c r="BV109" t="n">
        <v>4625</v>
      </c>
      <c r="BW109" t="n">
        <v>18682</v>
      </c>
      <c r="BX109" t="n">
        <v>8873</v>
      </c>
      <c r="BY109" t="n">
        <v>11582</v>
      </c>
      <c r="CB109" t="inlineStr">
        <is>
          <t>URA</t>
        </is>
      </c>
      <c r="CC109">
        <f>IFERROR(CHOOSE(MATCH($CB$6,{"Ano Completo","1º Semestre","2º Semestre","1º Trimestre","2º Trimestre","3º Trimestre","4º Trimestre"},0),SUM(CD109:CO109),SUM(CD109:CI109),SUM(CJ109:CO109),SUM(CD109:CF109),SUM(CG109:CI109),SUM(CJ109:CL109),SUM(CM109:CO109)),0)</f>
        <v/>
      </c>
      <c r="CD109" t="n">
        <v>15713</v>
      </c>
      <c r="CE109" t="n">
        <v>8307</v>
      </c>
      <c r="CF109" t="n">
        <v>8617</v>
      </c>
      <c r="CG109" t="n">
        <v>6933</v>
      </c>
      <c r="CH109" t="n">
        <v>17672</v>
      </c>
      <c r="CI109" t="n">
        <v>3907</v>
      </c>
      <c r="CJ109" t="n">
        <v>15051</v>
      </c>
      <c r="CK109" t="n">
        <v>13003</v>
      </c>
      <c r="CL109" t="n">
        <v>3709</v>
      </c>
      <c r="CM109" t="n">
        <v>18227</v>
      </c>
      <c r="CN109" t="n">
        <v>18240</v>
      </c>
      <c r="CO109" t="n">
        <v>1542</v>
      </c>
      <c r="CQ109" t="inlineStr">
        <is>
          <t>URA</t>
        </is>
      </c>
      <c r="CR109">
        <f>IFERROR(CHOOSE(MATCH($CQ$6,{"Ano Completo","1º Semestre","2º Semestre","1º Trimestre","2º Trimestre","3º Trimestre","4º Trimestre"},0),SUM(CS109:DD109),SUM(CS109:CX109),SUM(CY109:DD109),SUM(CS109:CU109),SUM(CV109:CX109),SUM(CY109:DA109),SUM(DB109:DD109)),0)</f>
        <v/>
      </c>
      <c r="CS109" t="n">
        <v>14758</v>
      </c>
      <c r="CT109" t="n">
        <v>11484</v>
      </c>
      <c r="CU109" t="n">
        <v>4776</v>
      </c>
      <c r="CV109" t="n">
        <v>12199</v>
      </c>
      <c r="CW109" t="n">
        <v>19818</v>
      </c>
      <c r="CX109" t="n">
        <v>10254</v>
      </c>
      <c r="CY109" t="n">
        <v>1496</v>
      </c>
      <c r="CZ109" t="n">
        <v>15578</v>
      </c>
      <c r="DA109" t="n">
        <v>4625</v>
      </c>
      <c r="DB109" t="n">
        <v>18682</v>
      </c>
      <c r="DC109" t="n">
        <v>8873</v>
      </c>
      <c r="DD109" t="n">
        <v>11582</v>
      </c>
      <c r="DG109" t="inlineStr">
        <is>
          <t>URA</t>
        </is>
      </c>
      <c r="DH109">
        <f>IFERROR(CHOOSE(MATCH($DG$6,{"Ano Completo","1º Semestre","2º Semestre","1º Trimestre","2º Trimestre","3º Trimestre","4º Trimestre"},0),SUM(DI109:DT109),SUM(DI109:DN109),SUM(DO109:DT109),SUM(DI109:DK109),SUM(DL109:DN109),SUM(DO109:DQ109),SUM(DR109:DT109)),0)</f>
        <v/>
      </c>
      <c r="DI109" t="n">
        <v>15713</v>
      </c>
      <c r="DJ109" t="n">
        <v>8307</v>
      </c>
      <c r="DK109" t="n">
        <v>8617</v>
      </c>
      <c r="DL109" t="n">
        <v>6933</v>
      </c>
      <c r="DM109" t="n">
        <v>17672</v>
      </c>
      <c r="DN109" t="n">
        <v>3907</v>
      </c>
      <c r="DO109" t="n">
        <v>15051</v>
      </c>
      <c r="DP109" t="n">
        <v>13003</v>
      </c>
      <c r="DQ109" t="n">
        <v>3709</v>
      </c>
      <c r="DR109" t="n">
        <v>18227</v>
      </c>
      <c r="DS109" t="n">
        <v>18240</v>
      </c>
      <c r="DT109" t="n">
        <v>1542</v>
      </c>
      <c r="DV109" t="inlineStr">
        <is>
          <t>URA</t>
        </is>
      </c>
      <c r="DW109">
        <f>IFERROR(CHOOSE(MATCH($DV$6,{"Ano Completo","1º Semestre","2º Semestre","1º Trimestre","2º Trimestre","3º Trimestre","4º Trimestre"},0),SUM(DX109:EI109),SUM(DX109:EC109),SUM(ED109:EI109),SUM(DX109:DZ109),SUM(EA109:EC109),SUM(ED109:EF109),SUM(EG109:EI109)),0)</f>
        <v/>
      </c>
      <c r="DX109" t="n">
        <v>14758</v>
      </c>
      <c r="DY109" t="n">
        <v>11484</v>
      </c>
      <c r="DZ109" t="n">
        <v>4776</v>
      </c>
      <c r="EA109" t="n">
        <v>12199</v>
      </c>
      <c r="EB109" t="n">
        <v>19818</v>
      </c>
      <c r="EC109" t="n">
        <v>10254</v>
      </c>
      <c r="ED109" t="n">
        <v>1496</v>
      </c>
      <c r="EE109" t="n">
        <v>15578</v>
      </c>
      <c r="EF109" t="n">
        <v>4625</v>
      </c>
      <c r="EG109" t="n">
        <v>18682</v>
      </c>
      <c r="EH109" t="n">
        <v>8873</v>
      </c>
      <c r="EI109" t="n">
        <v>11582</v>
      </c>
      <c r="EL109" t="inlineStr">
        <is>
          <t>URA</t>
        </is>
      </c>
      <c r="EM109">
        <f>IFERROR(CHOOSE(MATCH($EL$6,{"Ano Completo","1º Semestre","2º Semestre","1º Trimestre","2º Trimestre","3º Trimestre","4º Trimestre"},0),SUM(EN109:EY109),SUM(EN109:ES109),SUM(ET109:EY109),SUM(EN109:EP109),SUM(EQ109:ES109),SUM(ET109:EV109),SUM(EW109:EY109)),0)</f>
        <v/>
      </c>
      <c r="EN109" t="n">
        <v>15713</v>
      </c>
      <c r="EO109" t="n">
        <v>8307</v>
      </c>
      <c r="EP109" t="n">
        <v>8617</v>
      </c>
      <c r="EQ109" t="n">
        <v>6933</v>
      </c>
      <c r="ER109" t="n">
        <v>17672</v>
      </c>
      <c r="ES109" t="n">
        <v>3907</v>
      </c>
      <c r="ET109" t="n">
        <v>15051</v>
      </c>
      <c r="EU109" t="n">
        <v>13003</v>
      </c>
      <c r="EV109" t="n">
        <v>3709</v>
      </c>
      <c r="EW109" t="n">
        <v>18227</v>
      </c>
      <c r="EX109" t="n">
        <v>18240</v>
      </c>
      <c r="EY109" t="n">
        <v>1542</v>
      </c>
    </row>
    <row r="110">
      <c r="B110" t="inlineStr">
        <is>
          <t>Seguro de responsabilidade civil</t>
        </is>
      </c>
      <c r="C110">
        <f>IFERROR(CHOOSE(MATCH($B$6,{"Ano Completo","1º Semestre","2º Semestre","1º Trimestre","2º Trimestre","3º Trimestre","4º Trimestre"},0),SUM(D110:O110),SUM(D110:I110),SUM(J110:O110),SUM(D110:F110),SUM(G110:I110),SUM(J110:L110),SUM(M110:O110)),0)</f>
        <v/>
      </c>
      <c r="R110" t="inlineStr">
        <is>
          <t>Seguro de responsabilidade civil</t>
        </is>
      </c>
      <c r="S110">
        <f>IFERROR(CHOOSE(MATCH($R$6,{"Ano Completo","1º Semestre","2º Semestre","1º Trimestre","2º Trimestre","3º Trimestre","4º Trimestre"},0),SUM(T110:AE110),SUM(T110:Y110),SUM(Z110:AE110),SUM(T110:V110),SUM(W110:Y110),SUM(Z110:AB110),SUM(AC110:AE110)),0)</f>
        <v/>
      </c>
      <c r="AG110" t="inlineStr">
        <is>
          <t>Seguro de responsabilidade civil</t>
        </is>
      </c>
      <c r="AH110">
        <f>IFERROR(CHOOSE(MATCH($AG$6,{"Ano Completo","1º Semestre","2º Semestre","1º Trimestre","2º Trimestre","3º Trimestre","4º Trimestre"},0),SUM(AI110:AT110),SUM(AI110:AN110),SUM(AO110:AT110),SUM(AI110:AK110),SUM(AL110:AN110),SUM(AO110:AQ110),SUM(AR110:AT110)),0)</f>
        <v/>
      </c>
      <c r="AI110" t="n">
        <v>1376</v>
      </c>
      <c r="AJ110" t="n">
        <v>3431</v>
      </c>
      <c r="AK110" t="n">
        <v>16040</v>
      </c>
      <c r="AL110" t="n">
        <v>3171</v>
      </c>
      <c r="AM110" t="n">
        <v>18709</v>
      </c>
      <c r="AN110" t="n">
        <v>14610</v>
      </c>
      <c r="AO110" t="n">
        <v>12062</v>
      </c>
      <c r="AP110" t="n">
        <v>17458</v>
      </c>
      <c r="AQ110" t="n">
        <v>16642</v>
      </c>
      <c r="AR110" t="n">
        <v>10087</v>
      </c>
      <c r="AS110" t="n">
        <v>8586</v>
      </c>
      <c r="AT110" t="n">
        <v>16821</v>
      </c>
      <c r="AW110" t="inlineStr">
        <is>
          <t>Seguro de responsabilidade civil</t>
        </is>
      </c>
      <c r="AX110">
        <f>IFERROR(CHOOSE(MATCH($AW$6,{"Ano Completo","1º Semestre","2º Semestre","1º Trimestre","2º Trimestre","3º Trimestre","4º Trimestre"},0),SUM(AY110:BJ110),SUM(AY110:BD110),SUM(BE110:BJ110),SUM(AY110:BA110),SUM(BB110:BD110),SUM(BE110:BG110),SUM(BH110:BJ110)),0)</f>
        <v/>
      </c>
      <c r="AY110" t="n">
        <v>17730</v>
      </c>
      <c r="AZ110" t="n">
        <v>13816</v>
      </c>
      <c r="BA110" t="n">
        <v>1152</v>
      </c>
      <c r="BB110" t="n">
        <v>18378</v>
      </c>
      <c r="BC110" t="n">
        <v>17337</v>
      </c>
      <c r="BD110" t="n">
        <v>17755</v>
      </c>
      <c r="BE110" t="n">
        <v>19971</v>
      </c>
      <c r="BF110" t="n">
        <v>6264</v>
      </c>
      <c r="BG110" t="n">
        <v>10168</v>
      </c>
      <c r="BH110" t="n">
        <v>3593</v>
      </c>
      <c r="BI110" t="n">
        <v>17820</v>
      </c>
      <c r="BJ110" t="n">
        <v>3604</v>
      </c>
      <c r="BL110" t="inlineStr">
        <is>
          <t>Seguro de responsabilidade civil</t>
        </is>
      </c>
      <c r="BM110">
        <f>IFERROR(CHOOSE(MATCH($BL$6,{"Ano Completo","1º Semestre","2º Semestre","1º Trimestre","2º Trimestre","3º Trimestre","4º Trimestre"},0),SUM(BN110:BY110),SUM(BN110:BS110),SUM(BT110:BY110),SUM(BN110:BP110),SUM(BQ110:BS110),SUM(BT110:BV110),SUM(BW110:BY110)),0)</f>
        <v/>
      </c>
      <c r="BN110" t="n">
        <v>1376</v>
      </c>
      <c r="BO110" t="n">
        <v>3431</v>
      </c>
      <c r="BP110" t="n">
        <v>16040</v>
      </c>
      <c r="BQ110" t="n">
        <v>3171</v>
      </c>
      <c r="BR110" t="n">
        <v>18709</v>
      </c>
      <c r="BS110" t="n">
        <v>14610</v>
      </c>
      <c r="BT110" t="n">
        <v>12062</v>
      </c>
      <c r="BU110" t="n">
        <v>17458</v>
      </c>
      <c r="BV110" t="n">
        <v>16642</v>
      </c>
      <c r="BW110" t="n">
        <v>10087</v>
      </c>
      <c r="BX110" t="n">
        <v>8586</v>
      </c>
      <c r="BY110" t="n">
        <v>16821</v>
      </c>
      <c r="CB110" t="inlineStr">
        <is>
          <t>Seguro de responsabilidade civil</t>
        </is>
      </c>
      <c r="CC110">
        <f>IFERROR(CHOOSE(MATCH($CB$6,{"Ano Completo","1º Semestre","2º Semestre","1º Trimestre","2º Trimestre","3º Trimestre","4º Trimestre"},0),SUM(CD110:CO110),SUM(CD110:CI110),SUM(CJ110:CO110),SUM(CD110:CF110),SUM(CG110:CI110),SUM(CJ110:CL110),SUM(CM110:CO110)),0)</f>
        <v/>
      </c>
      <c r="CD110" t="n">
        <v>17730</v>
      </c>
      <c r="CE110" t="n">
        <v>13816</v>
      </c>
      <c r="CF110" t="n">
        <v>1152</v>
      </c>
      <c r="CG110" t="n">
        <v>18378</v>
      </c>
      <c r="CH110" t="n">
        <v>17337</v>
      </c>
      <c r="CI110" t="n">
        <v>17755</v>
      </c>
      <c r="CJ110" t="n">
        <v>19971</v>
      </c>
      <c r="CK110" t="n">
        <v>6264</v>
      </c>
      <c r="CL110" t="n">
        <v>10168</v>
      </c>
      <c r="CM110" t="n">
        <v>3593</v>
      </c>
      <c r="CN110" t="n">
        <v>17820</v>
      </c>
      <c r="CO110" t="n">
        <v>3604</v>
      </c>
      <c r="CQ110" t="inlineStr">
        <is>
          <t>Seguro de responsabilidade civil</t>
        </is>
      </c>
      <c r="CR110">
        <f>IFERROR(CHOOSE(MATCH($CQ$6,{"Ano Completo","1º Semestre","2º Semestre","1º Trimestre","2º Trimestre","3º Trimestre","4º Trimestre"},0),SUM(CS110:DD110),SUM(CS110:CX110),SUM(CY110:DD110),SUM(CS110:CU110),SUM(CV110:CX110),SUM(CY110:DA110),SUM(DB110:DD110)),0)</f>
        <v/>
      </c>
      <c r="CS110" t="n">
        <v>1376</v>
      </c>
      <c r="CT110" t="n">
        <v>3431</v>
      </c>
      <c r="CU110" t="n">
        <v>16040</v>
      </c>
      <c r="CV110" t="n">
        <v>3171</v>
      </c>
      <c r="CW110" t="n">
        <v>18709</v>
      </c>
      <c r="CX110" t="n">
        <v>14610</v>
      </c>
      <c r="CY110" t="n">
        <v>12062</v>
      </c>
      <c r="CZ110" t="n">
        <v>17458</v>
      </c>
      <c r="DA110" t="n">
        <v>16642</v>
      </c>
      <c r="DB110" t="n">
        <v>10087</v>
      </c>
      <c r="DC110" t="n">
        <v>8586</v>
      </c>
      <c r="DD110" t="n">
        <v>16821</v>
      </c>
      <c r="DG110" t="inlineStr">
        <is>
          <t>Seguro de responsabilidade civil</t>
        </is>
      </c>
      <c r="DH110">
        <f>IFERROR(CHOOSE(MATCH($DG$6,{"Ano Completo","1º Semestre","2º Semestre","1º Trimestre","2º Trimestre","3º Trimestre","4º Trimestre"},0),SUM(DI110:DT110),SUM(DI110:DN110),SUM(DO110:DT110),SUM(DI110:DK110),SUM(DL110:DN110),SUM(DO110:DQ110),SUM(DR110:DT110)),0)</f>
        <v/>
      </c>
      <c r="DI110" t="n">
        <v>17730</v>
      </c>
      <c r="DJ110" t="n">
        <v>13816</v>
      </c>
      <c r="DK110" t="n">
        <v>1152</v>
      </c>
      <c r="DL110" t="n">
        <v>18378</v>
      </c>
      <c r="DM110" t="n">
        <v>17337</v>
      </c>
      <c r="DN110" t="n">
        <v>17755</v>
      </c>
      <c r="DO110" t="n">
        <v>19971</v>
      </c>
      <c r="DP110" t="n">
        <v>6264</v>
      </c>
      <c r="DQ110" t="n">
        <v>10168</v>
      </c>
      <c r="DR110" t="n">
        <v>3593</v>
      </c>
      <c r="DS110" t="n">
        <v>17820</v>
      </c>
      <c r="DT110" t="n">
        <v>3604</v>
      </c>
      <c r="DV110" t="inlineStr">
        <is>
          <t>Seguro de responsabilidade civil</t>
        </is>
      </c>
      <c r="DW110">
        <f>IFERROR(CHOOSE(MATCH($DV$6,{"Ano Completo","1º Semestre","2º Semestre","1º Trimestre","2º Trimestre","3º Trimestre","4º Trimestre"},0),SUM(DX110:EI110),SUM(DX110:EC110),SUM(ED110:EI110),SUM(DX110:DZ110),SUM(EA110:EC110),SUM(ED110:EF110),SUM(EG110:EI110)),0)</f>
        <v/>
      </c>
      <c r="DX110" t="n">
        <v>1376</v>
      </c>
      <c r="DY110" t="n">
        <v>3431</v>
      </c>
      <c r="DZ110" t="n">
        <v>16040</v>
      </c>
      <c r="EA110" t="n">
        <v>3171</v>
      </c>
      <c r="EB110" t="n">
        <v>18709</v>
      </c>
      <c r="EC110" t="n">
        <v>14610</v>
      </c>
      <c r="ED110" t="n">
        <v>12062</v>
      </c>
      <c r="EE110" t="n">
        <v>17458</v>
      </c>
      <c r="EF110" t="n">
        <v>16642</v>
      </c>
      <c r="EG110" t="n">
        <v>10087</v>
      </c>
      <c r="EH110" t="n">
        <v>8586</v>
      </c>
      <c r="EI110" t="n">
        <v>16821</v>
      </c>
      <c r="EL110" t="inlineStr">
        <is>
          <t>Seguro de responsabilidade civil</t>
        </is>
      </c>
      <c r="EM110">
        <f>IFERROR(CHOOSE(MATCH($EL$6,{"Ano Completo","1º Semestre","2º Semestre","1º Trimestre","2º Trimestre","3º Trimestre","4º Trimestre"},0),SUM(EN110:EY110),SUM(EN110:ES110),SUM(ET110:EY110),SUM(EN110:EP110),SUM(EQ110:ES110),SUM(ET110:EV110),SUM(EW110:EY110)),0)</f>
        <v/>
      </c>
      <c r="EN110" t="n">
        <v>17730</v>
      </c>
      <c r="EO110" t="n">
        <v>13816</v>
      </c>
      <c r="EP110" t="n">
        <v>1152</v>
      </c>
      <c r="EQ110" t="n">
        <v>18378</v>
      </c>
      <c r="ER110" t="n">
        <v>17337</v>
      </c>
      <c r="ES110" t="n">
        <v>17755</v>
      </c>
      <c r="ET110" t="n">
        <v>19971</v>
      </c>
      <c r="EU110" t="n">
        <v>6264</v>
      </c>
      <c r="EV110" t="n">
        <v>10168</v>
      </c>
      <c r="EW110" t="n">
        <v>3593</v>
      </c>
      <c r="EX110" t="n">
        <v>17820</v>
      </c>
      <c r="EY110" t="n">
        <v>3604</v>
      </c>
    </row>
    <row r="111">
      <c r="B111" t="inlineStr">
        <is>
          <t>Escritórios Correspondentes</t>
        </is>
      </c>
      <c r="C111">
        <f>IFERROR(CHOOSE(MATCH($B$6,{"Ano Completo","1º Semestre","2º Semestre","1º Trimestre","2º Trimestre","3º Trimestre","4º Trimestre"},0),SUM(D111:O111),SUM(D111:I111),SUM(J111:O111),SUM(D111:F111),SUM(G111:I111),SUM(J111:L111),SUM(M111:O111)),0)</f>
        <v/>
      </c>
      <c r="R111" t="inlineStr">
        <is>
          <t>Escritórios Correspondentes</t>
        </is>
      </c>
      <c r="S111">
        <f>IFERROR(CHOOSE(MATCH($R$6,{"Ano Completo","1º Semestre","2º Semestre","1º Trimestre","2º Trimestre","3º Trimestre","4º Trimestre"},0),SUM(T111:AE111),SUM(T111:Y111),SUM(Z111:AE111),SUM(T111:V111),SUM(W111:Y111),SUM(Z111:AB111),SUM(AC111:AE111)),0)</f>
        <v/>
      </c>
      <c r="AG111" t="inlineStr">
        <is>
          <t>Escritórios Correspondentes</t>
        </is>
      </c>
      <c r="AH111">
        <f>IFERROR(CHOOSE(MATCH($AG$6,{"Ano Completo","1º Semestre","2º Semestre","1º Trimestre","2º Trimestre","3º Trimestre","4º Trimestre"},0),SUM(AI111:AT111),SUM(AI111:AN111),SUM(AO111:AT111),SUM(AI111:AK111),SUM(AL111:AN111),SUM(AO111:AQ111),SUM(AR111:AT111)),0)</f>
        <v/>
      </c>
      <c r="AI111" t="n">
        <v>1124</v>
      </c>
      <c r="AJ111" t="n">
        <v>13814</v>
      </c>
      <c r="AK111" t="n">
        <v>2075</v>
      </c>
      <c r="AL111" t="n">
        <v>19564</v>
      </c>
      <c r="AM111" t="n">
        <v>18299</v>
      </c>
      <c r="AN111" t="n">
        <v>13797</v>
      </c>
      <c r="AO111" t="n">
        <v>2903</v>
      </c>
      <c r="AP111" t="n">
        <v>14973</v>
      </c>
      <c r="AQ111" t="n">
        <v>10879</v>
      </c>
      <c r="AR111" t="n">
        <v>6427</v>
      </c>
      <c r="AS111" t="n">
        <v>3309</v>
      </c>
      <c r="AT111" t="n">
        <v>3045</v>
      </c>
      <c r="AW111" t="inlineStr">
        <is>
          <t>Escritórios Correspondentes</t>
        </is>
      </c>
      <c r="AX111">
        <f>IFERROR(CHOOSE(MATCH($AW$6,{"Ano Completo","1º Semestre","2º Semestre","1º Trimestre","2º Trimestre","3º Trimestre","4º Trimestre"},0),SUM(AY111:BJ111),SUM(AY111:BD111),SUM(BE111:BJ111),SUM(AY111:BA111),SUM(BB111:BD111),SUM(BE111:BG111),SUM(BH111:BJ111)),0)</f>
        <v/>
      </c>
      <c r="AY111" t="n">
        <v>11373</v>
      </c>
      <c r="AZ111" t="n">
        <v>13399</v>
      </c>
      <c r="BA111" t="n">
        <v>10126</v>
      </c>
      <c r="BB111" t="n">
        <v>18913</v>
      </c>
      <c r="BC111" t="n">
        <v>5820</v>
      </c>
      <c r="BD111" t="n">
        <v>8871</v>
      </c>
      <c r="BE111" t="n">
        <v>12308</v>
      </c>
      <c r="BF111" t="n">
        <v>6891</v>
      </c>
      <c r="BG111" t="n">
        <v>4237</v>
      </c>
      <c r="BH111" t="n">
        <v>2713</v>
      </c>
      <c r="BI111" t="n">
        <v>18712</v>
      </c>
      <c r="BJ111" t="n">
        <v>5383</v>
      </c>
      <c r="BL111" t="inlineStr">
        <is>
          <t>Escritórios Correspondentes</t>
        </is>
      </c>
      <c r="BM111">
        <f>IFERROR(CHOOSE(MATCH($BL$6,{"Ano Completo","1º Semestre","2º Semestre","1º Trimestre","2º Trimestre","3º Trimestre","4º Trimestre"},0),SUM(BN111:BY111),SUM(BN111:BS111),SUM(BT111:BY111),SUM(BN111:BP111),SUM(BQ111:BS111),SUM(BT111:BV111),SUM(BW111:BY111)),0)</f>
        <v/>
      </c>
      <c r="BN111" t="n">
        <v>1124</v>
      </c>
      <c r="BO111" t="n">
        <v>13814</v>
      </c>
      <c r="BP111" t="n">
        <v>2075</v>
      </c>
      <c r="BQ111" t="n">
        <v>19564</v>
      </c>
      <c r="BR111" t="n">
        <v>18299</v>
      </c>
      <c r="BS111" t="n">
        <v>13797</v>
      </c>
      <c r="BT111" t="n">
        <v>2903</v>
      </c>
      <c r="BU111" t="n">
        <v>14973</v>
      </c>
      <c r="BV111" t="n">
        <v>10879</v>
      </c>
      <c r="BW111" t="n">
        <v>6427</v>
      </c>
      <c r="BX111" t="n">
        <v>3309</v>
      </c>
      <c r="BY111" t="n">
        <v>3045</v>
      </c>
      <c r="CB111" t="inlineStr">
        <is>
          <t>Escritórios Correspondentes</t>
        </is>
      </c>
      <c r="CC111">
        <f>IFERROR(CHOOSE(MATCH($CB$6,{"Ano Completo","1º Semestre","2º Semestre","1º Trimestre","2º Trimestre","3º Trimestre","4º Trimestre"},0),SUM(CD111:CO111),SUM(CD111:CI111),SUM(CJ111:CO111),SUM(CD111:CF111),SUM(CG111:CI111),SUM(CJ111:CL111),SUM(CM111:CO111)),0)</f>
        <v/>
      </c>
      <c r="CD111" t="n">
        <v>11373</v>
      </c>
      <c r="CE111" t="n">
        <v>13399</v>
      </c>
      <c r="CF111" t="n">
        <v>10126</v>
      </c>
      <c r="CG111" t="n">
        <v>18913</v>
      </c>
      <c r="CH111" t="n">
        <v>5820</v>
      </c>
      <c r="CI111" t="n">
        <v>8871</v>
      </c>
      <c r="CJ111" t="n">
        <v>12308</v>
      </c>
      <c r="CK111" t="n">
        <v>6891</v>
      </c>
      <c r="CL111" t="n">
        <v>4237</v>
      </c>
      <c r="CM111" t="n">
        <v>2713</v>
      </c>
      <c r="CN111" t="n">
        <v>18712</v>
      </c>
      <c r="CO111" t="n">
        <v>5383</v>
      </c>
      <c r="CQ111" t="inlineStr">
        <is>
          <t>Escritórios Correspondentes</t>
        </is>
      </c>
      <c r="CR111">
        <f>IFERROR(CHOOSE(MATCH($CQ$6,{"Ano Completo","1º Semestre","2º Semestre","1º Trimestre","2º Trimestre","3º Trimestre","4º Trimestre"},0),SUM(CS111:DD111),SUM(CS111:CX111),SUM(CY111:DD111),SUM(CS111:CU111),SUM(CV111:CX111),SUM(CY111:DA111),SUM(DB111:DD111)),0)</f>
        <v/>
      </c>
      <c r="CS111" t="n">
        <v>1124</v>
      </c>
      <c r="CT111" t="n">
        <v>13814</v>
      </c>
      <c r="CU111" t="n">
        <v>2075</v>
      </c>
      <c r="CV111" t="n">
        <v>19564</v>
      </c>
      <c r="CW111" t="n">
        <v>18299</v>
      </c>
      <c r="CX111" t="n">
        <v>13797</v>
      </c>
      <c r="CY111" t="n">
        <v>2903</v>
      </c>
      <c r="CZ111" t="n">
        <v>14973</v>
      </c>
      <c r="DA111" t="n">
        <v>10879</v>
      </c>
      <c r="DB111" t="n">
        <v>6427</v>
      </c>
      <c r="DC111" t="n">
        <v>3309</v>
      </c>
      <c r="DD111" t="n">
        <v>3045</v>
      </c>
      <c r="DG111" t="inlineStr">
        <is>
          <t>Escritórios Correspondentes</t>
        </is>
      </c>
      <c r="DH111">
        <f>IFERROR(CHOOSE(MATCH($DG$6,{"Ano Completo","1º Semestre","2º Semestre","1º Trimestre","2º Trimestre","3º Trimestre","4º Trimestre"},0),SUM(DI111:DT111),SUM(DI111:DN111),SUM(DO111:DT111),SUM(DI111:DK111),SUM(DL111:DN111),SUM(DO111:DQ111),SUM(DR111:DT111)),0)</f>
        <v/>
      </c>
      <c r="DI111" t="n">
        <v>11373</v>
      </c>
      <c r="DJ111" t="n">
        <v>13399</v>
      </c>
      <c r="DK111" t="n">
        <v>10126</v>
      </c>
      <c r="DL111" t="n">
        <v>18913</v>
      </c>
      <c r="DM111" t="n">
        <v>5820</v>
      </c>
      <c r="DN111" t="n">
        <v>8871</v>
      </c>
      <c r="DO111" t="n">
        <v>12308</v>
      </c>
      <c r="DP111" t="n">
        <v>6891</v>
      </c>
      <c r="DQ111" t="n">
        <v>4237</v>
      </c>
      <c r="DR111" t="n">
        <v>2713</v>
      </c>
      <c r="DS111" t="n">
        <v>18712</v>
      </c>
      <c r="DT111" t="n">
        <v>5383</v>
      </c>
      <c r="DV111" t="inlineStr">
        <is>
          <t>Escritórios Correspondentes</t>
        </is>
      </c>
      <c r="DW111">
        <f>IFERROR(CHOOSE(MATCH($DV$6,{"Ano Completo","1º Semestre","2º Semestre","1º Trimestre","2º Trimestre","3º Trimestre","4º Trimestre"},0),SUM(DX111:EI111),SUM(DX111:EC111),SUM(ED111:EI111),SUM(DX111:DZ111),SUM(EA111:EC111),SUM(ED111:EF111),SUM(EG111:EI111)),0)</f>
        <v/>
      </c>
      <c r="DX111" t="n">
        <v>1124</v>
      </c>
      <c r="DY111" t="n">
        <v>13814</v>
      </c>
      <c r="DZ111" t="n">
        <v>2075</v>
      </c>
      <c r="EA111" t="n">
        <v>19564</v>
      </c>
      <c r="EB111" t="n">
        <v>18299</v>
      </c>
      <c r="EC111" t="n">
        <v>13797</v>
      </c>
      <c r="ED111" t="n">
        <v>2903</v>
      </c>
      <c r="EE111" t="n">
        <v>14973</v>
      </c>
      <c r="EF111" t="n">
        <v>10879</v>
      </c>
      <c r="EG111" t="n">
        <v>6427</v>
      </c>
      <c r="EH111" t="n">
        <v>3309</v>
      </c>
      <c r="EI111" t="n">
        <v>3045</v>
      </c>
      <c r="EL111" t="inlineStr">
        <is>
          <t>Escritórios Correspondentes</t>
        </is>
      </c>
      <c r="EM111">
        <f>IFERROR(CHOOSE(MATCH($EL$6,{"Ano Completo","1º Semestre","2º Semestre","1º Trimestre","2º Trimestre","3º Trimestre","4º Trimestre"},0),SUM(EN111:EY111),SUM(EN111:ES111),SUM(ET111:EY111),SUM(EN111:EP111),SUM(EQ111:ES111),SUM(ET111:EV111),SUM(EW111:EY111)),0)</f>
        <v/>
      </c>
      <c r="EN111" t="n">
        <v>11373</v>
      </c>
      <c r="EO111" t="n">
        <v>13399</v>
      </c>
      <c r="EP111" t="n">
        <v>10126</v>
      </c>
      <c r="EQ111" t="n">
        <v>18913</v>
      </c>
      <c r="ER111" t="n">
        <v>5820</v>
      </c>
      <c r="ES111" t="n">
        <v>8871</v>
      </c>
      <c r="ET111" t="n">
        <v>12308</v>
      </c>
      <c r="EU111" t="n">
        <v>6891</v>
      </c>
      <c r="EV111" t="n">
        <v>4237</v>
      </c>
      <c r="EW111" t="n">
        <v>2713</v>
      </c>
      <c r="EX111" t="n">
        <v>18712</v>
      </c>
      <c r="EY111" t="n">
        <v>5383</v>
      </c>
    </row>
    <row r="112">
      <c r="B112" t="inlineStr">
        <is>
          <t>Materiais De Escritório</t>
        </is>
      </c>
      <c r="C112">
        <f>IFERROR(CHOOSE(MATCH($B$6,{"Ano Completo","1º Semestre","2º Semestre","1º Trimestre","2º Trimestre","3º Trimestre","4º Trimestre"},0),SUM(D112:O112),SUM(D112:I112),SUM(J112:O112),SUM(D112:F112),SUM(G112:I112),SUM(J112:L112),SUM(M112:O112)),0)</f>
        <v/>
      </c>
      <c r="R112" t="inlineStr">
        <is>
          <t>Materiais De Escritório</t>
        </is>
      </c>
      <c r="S112">
        <f>IFERROR(CHOOSE(MATCH($R$6,{"Ano Completo","1º Semestre","2º Semestre","1º Trimestre","2º Trimestre","3º Trimestre","4º Trimestre"},0),SUM(T112:AE112),SUM(T112:Y112),SUM(Z112:AE112),SUM(T112:V112),SUM(W112:Y112),SUM(Z112:AB112),SUM(AC112:AE112)),0)</f>
        <v/>
      </c>
      <c r="AG112" t="inlineStr">
        <is>
          <t>Materiais De Escritório</t>
        </is>
      </c>
      <c r="AH112">
        <f>IFERROR(CHOOSE(MATCH($AG$6,{"Ano Completo","1º Semestre","2º Semestre","1º Trimestre","2º Trimestre","3º Trimestre","4º Trimestre"},0),SUM(AI112:AT112),SUM(AI112:AN112),SUM(AO112:AT112),SUM(AI112:AK112),SUM(AL112:AN112),SUM(AO112:AQ112),SUM(AR112:AT112)),0)</f>
        <v/>
      </c>
      <c r="AI112" t="n">
        <v>2333</v>
      </c>
      <c r="AJ112" t="n">
        <v>1163</v>
      </c>
      <c r="AK112" t="n">
        <v>11941</v>
      </c>
      <c r="AL112" t="n">
        <v>19740</v>
      </c>
      <c r="AM112" t="n">
        <v>16710</v>
      </c>
      <c r="AN112" t="n">
        <v>18757</v>
      </c>
      <c r="AO112" t="n">
        <v>19714</v>
      </c>
      <c r="AP112" t="n">
        <v>7544</v>
      </c>
      <c r="AQ112" t="n">
        <v>12132</v>
      </c>
      <c r="AR112" t="n">
        <v>7667</v>
      </c>
      <c r="AS112" t="n">
        <v>3341</v>
      </c>
      <c r="AT112" t="n">
        <v>5600</v>
      </c>
      <c r="AW112" t="inlineStr">
        <is>
          <t>Materiais De Escritório</t>
        </is>
      </c>
      <c r="AX112">
        <f>IFERROR(CHOOSE(MATCH($AW$6,{"Ano Completo","1º Semestre","2º Semestre","1º Trimestre","2º Trimestre","3º Trimestre","4º Trimestre"},0),SUM(AY112:BJ112),SUM(AY112:BD112),SUM(BE112:BJ112),SUM(AY112:BA112),SUM(BB112:BD112),SUM(BE112:BG112),SUM(BH112:BJ112)),0)</f>
        <v/>
      </c>
      <c r="AY112" t="n">
        <v>12841</v>
      </c>
      <c r="AZ112" t="n">
        <v>10297</v>
      </c>
      <c r="BA112" t="n">
        <v>15529</v>
      </c>
      <c r="BB112" t="n">
        <v>13256</v>
      </c>
      <c r="BC112" t="n">
        <v>6619</v>
      </c>
      <c r="BD112" t="n">
        <v>1577</v>
      </c>
      <c r="BE112" t="n">
        <v>1639</v>
      </c>
      <c r="BF112" t="n">
        <v>7432</v>
      </c>
      <c r="BG112" t="n">
        <v>16752</v>
      </c>
      <c r="BH112" t="n">
        <v>2487</v>
      </c>
      <c r="BI112" t="n">
        <v>11067</v>
      </c>
      <c r="BJ112" t="n">
        <v>7368</v>
      </c>
      <c r="BL112" t="inlineStr">
        <is>
          <t>Materiais De Escritório</t>
        </is>
      </c>
      <c r="BM112">
        <f>IFERROR(CHOOSE(MATCH($BL$6,{"Ano Completo","1º Semestre","2º Semestre","1º Trimestre","2º Trimestre","3º Trimestre","4º Trimestre"},0),SUM(BN112:BY112),SUM(BN112:BS112),SUM(BT112:BY112),SUM(BN112:BP112),SUM(BQ112:BS112),SUM(BT112:BV112),SUM(BW112:BY112)),0)</f>
        <v/>
      </c>
      <c r="BN112" t="n">
        <v>2333</v>
      </c>
      <c r="BO112" t="n">
        <v>1163</v>
      </c>
      <c r="BP112" t="n">
        <v>11941</v>
      </c>
      <c r="BQ112" t="n">
        <v>19740</v>
      </c>
      <c r="BR112" t="n">
        <v>16710</v>
      </c>
      <c r="BS112" t="n">
        <v>18757</v>
      </c>
      <c r="BT112" t="n">
        <v>19714</v>
      </c>
      <c r="BU112" t="n">
        <v>7544</v>
      </c>
      <c r="BV112" t="n">
        <v>12132</v>
      </c>
      <c r="BW112" t="n">
        <v>7667</v>
      </c>
      <c r="BX112" t="n">
        <v>3341</v>
      </c>
      <c r="BY112" t="n">
        <v>5600</v>
      </c>
      <c r="CB112" t="inlineStr">
        <is>
          <t>Materiais De Escritório</t>
        </is>
      </c>
      <c r="CC112">
        <f>IFERROR(CHOOSE(MATCH($CB$6,{"Ano Completo","1º Semestre","2º Semestre","1º Trimestre","2º Trimestre","3º Trimestre","4º Trimestre"},0),SUM(CD112:CO112),SUM(CD112:CI112),SUM(CJ112:CO112),SUM(CD112:CF112),SUM(CG112:CI112),SUM(CJ112:CL112),SUM(CM112:CO112)),0)</f>
        <v/>
      </c>
      <c r="CD112" t="n">
        <v>12841</v>
      </c>
      <c r="CE112" t="n">
        <v>10297</v>
      </c>
      <c r="CF112" t="n">
        <v>15529</v>
      </c>
      <c r="CG112" t="n">
        <v>13256</v>
      </c>
      <c r="CH112" t="n">
        <v>6619</v>
      </c>
      <c r="CI112" t="n">
        <v>1577</v>
      </c>
      <c r="CJ112" t="n">
        <v>1639</v>
      </c>
      <c r="CK112" t="n">
        <v>7432</v>
      </c>
      <c r="CL112" t="n">
        <v>16752</v>
      </c>
      <c r="CM112" t="n">
        <v>2487</v>
      </c>
      <c r="CN112" t="n">
        <v>11067</v>
      </c>
      <c r="CO112" t="n">
        <v>7368</v>
      </c>
      <c r="CQ112" t="inlineStr">
        <is>
          <t>Materiais De Escritório</t>
        </is>
      </c>
      <c r="CR112">
        <f>IFERROR(CHOOSE(MATCH($CQ$6,{"Ano Completo","1º Semestre","2º Semestre","1º Trimestre","2º Trimestre","3º Trimestre","4º Trimestre"},0),SUM(CS112:DD112),SUM(CS112:CX112),SUM(CY112:DD112),SUM(CS112:CU112),SUM(CV112:CX112),SUM(CY112:DA112),SUM(DB112:DD112)),0)</f>
        <v/>
      </c>
      <c r="CS112" t="n">
        <v>2333</v>
      </c>
      <c r="CT112" t="n">
        <v>1163</v>
      </c>
      <c r="CU112" t="n">
        <v>11941</v>
      </c>
      <c r="CV112" t="n">
        <v>19740</v>
      </c>
      <c r="CW112" t="n">
        <v>16710</v>
      </c>
      <c r="CX112" t="n">
        <v>18757</v>
      </c>
      <c r="CY112" t="n">
        <v>19714</v>
      </c>
      <c r="CZ112" t="n">
        <v>7544</v>
      </c>
      <c r="DA112" t="n">
        <v>12132</v>
      </c>
      <c r="DB112" t="n">
        <v>7667</v>
      </c>
      <c r="DC112" t="n">
        <v>3341</v>
      </c>
      <c r="DD112" t="n">
        <v>5600</v>
      </c>
      <c r="DG112" t="inlineStr">
        <is>
          <t>Materiais De Escritório</t>
        </is>
      </c>
      <c r="DH112">
        <f>IFERROR(CHOOSE(MATCH($DG$6,{"Ano Completo","1º Semestre","2º Semestre","1º Trimestre","2º Trimestre","3º Trimestre","4º Trimestre"},0),SUM(DI112:DT112),SUM(DI112:DN112),SUM(DO112:DT112),SUM(DI112:DK112),SUM(DL112:DN112),SUM(DO112:DQ112),SUM(DR112:DT112)),0)</f>
        <v/>
      </c>
      <c r="DI112" t="n">
        <v>12841</v>
      </c>
      <c r="DJ112" t="n">
        <v>10297</v>
      </c>
      <c r="DK112" t="n">
        <v>15529</v>
      </c>
      <c r="DL112" t="n">
        <v>13256</v>
      </c>
      <c r="DM112" t="n">
        <v>6619</v>
      </c>
      <c r="DN112" t="n">
        <v>1577</v>
      </c>
      <c r="DO112" t="n">
        <v>1639</v>
      </c>
      <c r="DP112" t="n">
        <v>7432</v>
      </c>
      <c r="DQ112" t="n">
        <v>16752</v>
      </c>
      <c r="DR112" t="n">
        <v>2487</v>
      </c>
      <c r="DS112" t="n">
        <v>11067</v>
      </c>
      <c r="DT112" t="n">
        <v>7368</v>
      </c>
      <c r="DV112" t="inlineStr">
        <is>
          <t>Materiais De Escritório</t>
        </is>
      </c>
      <c r="DW112">
        <f>IFERROR(CHOOSE(MATCH($DV$6,{"Ano Completo","1º Semestre","2º Semestre","1º Trimestre","2º Trimestre","3º Trimestre","4º Trimestre"},0),SUM(DX112:EI112),SUM(DX112:EC112),SUM(ED112:EI112),SUM(DX112:DZ112),SUM(EA112:EC112),SUM(ED112:EF112),SUM(EG112:EI112)),0)</f>
        <v/>
      </c>
      <c r="DX112" t="n">
        <v>2333</v>
      </c>
      <c r="DY112" t="n">
        <v>1163</v>
      </c>
      <c r="DZ112" t="n">
        <v>11941</v>
      </c>
      <c r="EA112" t="n">
        <v>19740</v>
      </c>
      <c r="EB112" t="n">
        <v>16710</v>
      </c>
      <c r="EC112" t="n">
        <v>18757</v>
      </c>
      <c r="ED112" t="n">
        <v>19714</v>
      </c>
      <c r="EE112" t="n">
        <v>7544</v>
      </c>
      <c r="EF112" t="n">
        <v>12132</v>
      </c>
      <c r="EG112" t="n">
        <v>7667</v>
      </c>
      <c r="EH112" t="n">
        <v>3341</v>
      </c>
      <c r="EI112" t="n">
        <v>5600</v>
      </c>
      <c r="EL112" t="inlineStr">
        <is>
          <t>Materiais De Escritório</t>
        </is>
      </c>
      <c r="EM112">
        <f>IFERROR(CHOOSE(MATCH($EL$6,{"Ano Completo","1º Semestre","2º Semestre","1º Trimestre","2º Trimestre","3º Trimestre","4º Trimestre"},0),SUM(EN112:EY112),SUM(EN112:ES112),SUM(ET112:EY112),SUM(EN112:EP112),SUM(EQ112:ES112),SUM(ET112:EV112),SUM(EW112:EY112)),0)</f>
        <v/>
      </c>
      <c r="EN112" t="n">
        <v>12841</v>
      </c>
      <c r="EO112" t="n">
        <v>10297</v>
      </c>
      <c r="EP112" t="n">
        <v>15529</v>
      </c>
      <c r="EQ112" t="n">
        <v>13256</v>
      </c>
      <c r="ER112" t="n">
        <v>6619</v>
      </c>
      <c r="ES112" t="n">
        <v>1577</v>
      </c>
      <c r="ET112" t="n">
        <v>1639</v>
      </c>
      <c r="EU112" t="n">
        <v>7432</v>
      </c>
      <c r="EV112" t="n">
        <v>16752</v>
      </c>
      <c r="EW112" t="n">
        <v>2487</v>
      </c>
      <c r="EX112" t="n">
        <v>11067</v>
      </c>
      <c r="EY112" t="n">
        <v>7368</v>
      </c>
    </row>
    <row r="113">
      <c r="B113" s="4" t="inlineStr">
        <is>
          <t>Outros Serviços Especializados 1 (descrever)</t>
        </is>
      </c>
      <c r="C113">
        <f>IFERROR(CHOOSE(MATCH($B$6,{"Ano Completo","1º Semestre","2º Semestre","1º Trimestre","2º Trimestre","3º Trimestre","4º Trimestre"},0),SUM(D113:O113),SUM(D113:I113),SUM(J113:O113),SUM(D113:F113),SUM(G113:I113),SUM(J113:L113),SUM(M113:O113)),0)</f>
        <v/>
      </c>
      <c r="R113" s="4" t="inlineStr">
        <is>
          <t>Outros Serviços Especializados 1 (descrever)</t>
        </is>
      </c>
      <c r="S113">
        <f>IFERROR(CHOOSE(MATCH($R$6,{"Ano Completo","1º Semestre","2º Semestre","1º Trimestre","2º Trimestre","3º Trimestre","4º Trimestre"},0),SUM(T113:AE113),SUM(T113:Y113),SUM(Z113:AE113),SUM(T113:V113),SUM(W113:Y113),SUM(Z113:AB113),SUM(AC113:AE113)),0)</f>
        <v/>
      </c>
      <c r="AG113" s="4" t="inlineStr">
        <is>
          <t>Outros Serviços Especializados 1 (descrever)</t>
        </is>
      </c>
      <c r="AH113">
        <f>IFERROR(CHOOSE(MATCH($AG$6,{"Ano Completo","1º Semestre","2º Semestre","1º Trimestre","2º Trimestre","3º Trimestre","4º Trimestre"},0),SUM(AI113:AT113),SUM(AI113:AN113),SUM(AO113:AT113),SUM(AI113:AK113),SUM(AL113:AN113),SUM(AO113:AQ113),SUM(AR113:AT113)),0)</f>
        <v/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W113" s="4" t="inlineStr">
        <is>
          <t>Outros Serviços Especializados 1 (descrever)</t>
        </is>
      </c>
      <c r="AX113">
        <f>IFERROR(CHOOSE(MATCH($AW$6,{"Ano Completo","1º Semestre","2º Semestre","1º Trimestre","2º Trimestre","3º Trimestre","4º Trimestre"},0),SUM(AY113:BJ113),SUM(AY113:BD113),SUM(BE113:BJ113),SUM(AY113:BA113),SUM(BB113:BD113),SUM(BE113:BG113),SUM(BH113:BJ113)),0)</f>
        <v/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L113" s="4" t="inlineStr">
        <is>
          <t>Outros Serviços Especializados 1 (descrever)</t>
        </is>
      </c>
      <c r="BM113">
        <f>IFERROR(CHOOSE(MATCH($BL$6,{"Ano Completo","1º Semestre","2º Semestre","1º Trimestre","2º Trimestre","3º Trimestre","4º Trimestre"},0),SUM(BN113:BY113),SUM(BN113:BS113),SUM(BT113:BY113),SUM(BN113:BP113),SUM(BQ113:BS113),SUM(BT113:BV113),SUM(BW113:BY113)),0)</f>
        <v/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CB113" s="4" t="inlineStr">
        <is>
          <t>Outros Serviços Especializados 1 (descrever)</t>
        </is>
      </c>
      <c r="CC113">
        <f>IFERROR(CHOOSE(MATCH($CB$6,{"Ano Completo","1º Semestre","2º Semestre","1º Trimestre","2º Trimestre","3º Trimestre","4º Trimestre"},0),SUM(CD113:CO113),SUM(CD113:CI113),SUM(CJ113:CO113),SUM(CD113:CF113),SUM(CG113:CI113),SUM(CJ113:CL113),SUM(CM113:CO113)),0)</f>
        <v/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Q113" s="4" t="inlineStr">
        <is>
          <t>Outros Serviços Especializados 1 (descrever)</t>
        </is>
      </c>
      <c r="CR113">
        <f>IFERROR(CHOOSE(MATCH($CQ$6,{"Ano Completo","1º Semestre","2º Semestre","1º Trimestre","2º Trimestre","3º Trimestre","4º Trimestre"},0),SUM(CS113:DD113),SUM(CS113:CX113),SUM(CY113:DD113),SUM(CS113:CU113),SUM(CV113:CX113),SUM(CY113:DA113),SUM(DB113:DD113)),0)</f>
        <v/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G113" s="4" t="inlineStr">
        <is>
          <t>Outros Serviços Especializados 1 (descrever)</t>
        </is>
      </c>
      <c r="DH113">
        <f>IFERROR(CHOOSE(MATCH($DG$6,{"Ano Completo","1º Semestre","2º Semestre","1º Trimestre","2º Trimestre","3º Trimestre","4º Trimestre"},0),SUM(DI113:DT113),SUM(DI113:DN113),SUM(DO113:DT113),SUM(DI113:DK113),SUM(DL113:DN113),SUM(DO113:DQ113),SUM(DR113:DT113)),0)</f>
        <v/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V113" s="4" t="inlineStr">
        <is>
          <t>Outros Serviços Especializados 1 (descrever)</t>
        </is>
      </c>
      <c r="DW113">
        <f>IFERROR(CHOOSE(MATCH($DV$6,{"Ano Completo","1º Semestre","2º Semestre","1º Trimestre","2º Trimestre","3º Trimestre","4º Trimestre"},0),SUM(DX113:EI113),SUM(DX113:EC113),SUM(ED113:EI113),SUM(DX113:DZ113),SUM(EA113:EC113),SUM(ED113:EF113),SUM(EG113:EI113)),0)</f>
        <v/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L113" s="4" t="inlineStr">
        <is>
          <t>Outros Serviços Especializados 1 (descrever)</t>
        </is>
      </c>
      <c r="EM113">
        <f>IFERROR(CHOOSE(MATCH($EL$6,{"Ano Completo","1º Semestre","2º Semestre","1º Trimestre","2º Trimestre","3º Trimestre","4º Trimestre"},0),SUM(EN113:EY113),SUM(EN113:ES113),SUM(ET113:EY113),SUM(EN113:EP113),SUM(EQ113:ES113),SUM(ET113:EV113),SUM(EW113:EY113)),0)</f>
        <v/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</row>
    <row r="114">
      <c r="B114" t="inlineStr">
        <is>
          <t>Demais despesas com serviços especializados</t>
        </is>
      </c>
      <c r="C114">
        <f>IFERROR(CHOOSE(MATCH($B$6,{"Ano Completo","1º Semestre","2º Semestre","1º Trimestre","2º Trimestre","3º Trimestre","4º Trimestre"},0),SUM(D114:O114),SUM(D114:I114),SUM(J114:O114),SUM(D114:F114),SUM(G114:I114),SUM(J114:L114),SUM(M114:O114)),0)</f>
        <v/>
      </c>
      <c r="R114" t="inlineStr">
        <is>
          <t>Demais despesas com serviços especializados</t>
        </is>
      </c>
      <c r="S114">
        <f>IFERROR(CHOOSE(MATCH($R$6,{"Ano Completo","1º Semestre","2º Semestre","1º Trimestre","2º Trimestre","3º Trimestre","4º Trimestre"},0),SUM(T114:AE114),SUM(T114:Y114),SUM(Z114:AE114),SUM(T114:V114),SUM(W114:Y114),SUM(Z114:AB114),SUM(AC114:AE114)),0)</f>
        <v/>
      </c>
      <c r="AG114" t="inlineStr">
        <is>
          <t>Demais despesas com serviços especializados</t>
        </is>
      </c>
      <c r="AH114">
        <f>IFERROR(CHOOSE(MATCH($AG$6,{"Ano Completo","1º Semestre","2º Semestre","1º Trimestre","2º Trimestre","3º Trimestre","4º Trimestre"},0),SUM(AI114:AT114),SUM(AI114:AN114),SUM(AO114:AT114),SUM(AI114:AK114),SUM(AL114:AN114),SUM(AO114:AQ114),SUM(AR114:AT114)),0)</f>
        <v/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W114" t="inlineStr">
        <is>
          <t>Demais despesas com serviços especializados</t>
        </is>
      </c>
      <c r="AX114">
        <f>IFERROR(CHOOSE(MATCH($AW$6,{"Ano Completo","1º Semestre","2º Semestre","1º Trimestre","2º Trimestre","3º Trimestre","4º Trimestre"},0),SUM(AY114:BJ114),SUM(AY114:BD114),SUM(BE114:BJ114),SUM(AY114:BA114),SUM(BB114:BD114),SUM(BE114:BG114),SUM(BH114:BJ114)),0)</f>
        <v/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L114" t="inlineStr">
        <is>
          <t>Demais despesas com serviços especializados</t>
        </is>
      </c>
      <c r="BM114">
        <f>IFERROR(CHOOSE(MATCH($BL$6,{"Ano Completo","1º Semestre","2º Semestre","1º Trimestre","2º Trimestre","3º Trimestre","4º Trimestre"},0),SUM(BN114:BY114),SUM(BN114:BS114),SUM(BT114:BY114),SUM(BN114:BP114),SUM(BQ114:BS114),SUM(BT114:BV114),SUM(BW114:BY114)),0)</f>
        <v/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CB114" t="inlineStr">
        <is>
          <t>Demais despesas com serviços especializados</t>
        </is>
      </c>
      <c r="CC114">
        <f>IFERROR(CHOOSE(MATCH($CB$6,{"Ano Completo","1º Semestre","2º Semestre","1º Trimestre","2º Trimestre","3º Trimestre","4º Trimestre"},0),SUM(CD114:CO114),SUM(CD114:CI114),SUM(CJ114:CO114),SUM(CD114:CF114),SUM(CG114:CI114),SUM(CJ114:CL114),SUM(CM114:CO114)),0)</f>
        <v/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Q114" t="inlineStr">
        <is>
          <t>Demais despesas com serviços especializados</t>
        </is>
      </c>
      <c r="CR114">
        <f>IFERROR(CHOOSE(MATCH($CQ$6,{"Ano Completo","1º Semestre","2º Semestre","1º Trimestre","2º Trimestre","3º Trimestre","4º Trimestre"},0),SUM(CS114:DD114),SUM(CS114:CX114),SUM(CY114:DD114),SUM(CS114:CU114),SUM(CV114:CX114),SUM(CY114:DA114),SUM(DB114:DD114)),0)</f>
        <v/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G114" t="inlineStr">
        <is>
          <t>Demais despesas com serviços especializados</t>
        </is>
      </c>
      <c r="DH114">
        <f>IFERROR(CHOOSE(MATCH($DG$6,{"Ano Completo","1º Semestre","2º Semestre","1º Trimestre","2º Trimestre","3º Trimestre","4º Trimestre"},0),SUM(DI114:DT114),SUM(DI114:DN114),SUM(DO114:DT114),SUM(DI114:DK114),SUM(DL114:DN114),SUM(DO114:DQ114),SUM(DR114:DT114)),0)</f>
        <v/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V114" t="inlineStr">
        <is>
          <t>Demais despesas com serviços especializados</t>
        </is>
      </c>
      <c r="DW114">
        <f>IFERROR(CHOOSE(MATCH($DV$6,{"Ano Completo","1º Semestre","2º Semestre","1º Trimestre","2º Trimestre","3º Trimestre","4º Trimestre"},0),SUM(DX114:EI114),SUM(DX114:EC114),SUM(ED114:EI114),SUM(DX114:DZ114),SUM(EA114:EC114),SUM(ED114:EF114),SUM(EG114:EI114)),0)</f>
        <v/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L114" t="inlineStr">
        <is>
          <t>Demais despesas com serviços especializados</t>
        </is>
      </c>
      <c r="EM114">
        <f>IFERROR(CHOOSE(MATCH($EL$6,{"Ano Completo","1º Semestre","2º Semestre","1º Trimestre","2º Trimestre","3º Trimestre","4º Trimestre"},0),SUM(EN114:EY114),SUM(EN114:ES114),SUM(ET114:EY114),SUM(EN114:EP114),SUM(EQ114:ES114),SUM(ET114:EV114),SUM(EW114:EY114)),0)</f>
        <v/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</row>
    <row r="117">
      <c r="B117" t="inlineStr">
        <is>
          <t>Ações digitais</t>
        </is>
      </c>
      <c r="C117">
        <f>IFERROR(CHOOSE(MATCH($B$6,{"Ano Completo","1º Semestre","2º Semestre","1º Trimestre","2º Trimestre","3º Trimestre","4º Trimestre"},0),SUM(D117:O117),SUM(D117:I117),SUM(J117:O117),SUM(D117:F117),SUM(G117:I117),SUM(J117:L117),SUM(M117:O117)),0)</f>
        <v/>
      </c>
      <c r="R117" t="inlineStr">
        <is>
          <t>Ações digitais</t>
        </is>
      </c>
      <c r="S117">
        <f>IFERROR(CHOOSE(MATCH($R$6,{"Ano Completo","1º Semestre","2º Semestre","1º Trimestre","2º Trimestre","3º Trimestre","4º Trimestre"},0),SUM(T117:AE117),SUM(T117:Y117),SUM(Z117:AE117),SUM(T117:V117),SUM(W117:Y117),SUM(Z117:AB117),SUM(AC117:AE117)),0)</f>
        <v/>
      </c>
      <c r="AG117" t="inlineStr">
        <is>
          <t>Ações digitais</t>
        </is>
      </c>
      <c r="AH117">
        <f>IFERROR(CHOOSE(MATCH($AG$6,{"Ano Completo","1º Semestre","2º Semestre","1º Trimestre","2º Trimestre","3º Trimestre","4º Trimestre"},0),SUM(AI117:AT117),SUM(AI117:AN117),SUM(AO117:AT117),SUM(AI117:AK117),SUM(AL117:AN117),SUM(AO117:AQ117),SUM(AR117:AT117)),0)</f>
        <v/>
      </c>
      <c r="AI117" t="n">
        <v>59744</v>
      </c>
      <c r="AJ117" t="n">
        <v>83988</v>
      </c>
      <c r="AK117" t="n">
        <v>109234</v>
      </c>
      <c r="AL117" t="n">
        <v>86972</v>
      </c>
      <c r="AM117" t="n">
        <v>125752</v>
      </c>
      <c r="AN117" t="n">
        <v>103830</v>
      </c>
      <c r="AO117" t="n">
        <v>78258</v>
      </c>
      <c r="AP117" t="n">
        <v>100215</v>
      </c>
      <c r="AQ117" t="n">
        <v>115936</v>
      </c>
      <c r="AR117" t="n">
        <v>102680</v>
      </c>
      <c r="AS117" t="n">
        <v>101676</v>
      </c>
      <c r="AT117" t="n">
        <v>131501</v>
      </c>
      <c r="AW117" t="inlineStr">
        <is>
          <t>Ações digitais</t>
        </is>
      </c>
      <c r="AX117">
        <f>IFERROR(CHOOSE(MATCH($AW$6,{"Ano Completo","1º Semestre","2º Semestre","1º Trimestre","2º Trimestre","3º Trimestre","4º Trimestre"},0),SUM(AY117:BJ117),SUM(AY117:BD117),SUM(BE117:BJ117),SUM(AY117:BA117),SUM(BB117:BD117),SUM(BE117:BG117),SUM(BH117:BJ117)),0)</f>
        <v/>
      </c>
      <c r="AY117" t="n">
        <v>98007</v>
      </c>
      <c r="AZ117" t="n">
        <v>98085</v>
      </c>
      <c r="BA117" t="n">
        <v>69772</v>
      </c>
      <c r="BB117" t="n">
        <v>66681</v>
      </c>
      <c r="BC117" t="n">
        <v>90341</v>
      </c>
      <c r="BD117" t="n">
        <v>74194</v>
      </c>
      <c r="BE117" t="n">
        <v>89655</v>
      </c>
      <c r="BF117" t="n">
        <v>58883</v>
      </c>
      <c r="BG117" t="n">
        <v>114673</v>
      </c>
      <c r="BH117" t="n">
        <v>77781</v>
      </c>
      <c r="BI117" t="n">
        <v>97188</v>
      </c>
      <c r="BJ117" t="n">
        <v>73159</v>
      </c>
      <c r="BL117" t="inlineStr">
        <is>
          <t>Ações digitais</t>
        </is>
      </c>
      <c r="BM117">
        <f>IFERROR(CHOOSE(MATCH($BL$6,{"Ano Completo","1º Semestre","2º Semestre","1º Trimestre","2º Trimestre","3º Trimestre","4º Trimestre"},0),SUM(BN117:BY117),SUM(BN117:BS117),SUM(BT117:BY117),SUM(BN117:BP117),SUM(BQ117:BS117),SUM(BT117:BV117),SUM(BW117:BY117)),0)</f>
        <v/>
      </c>
      <c r="BN117" t="n">
        <v>59744</v>
      </c>
      <c r="BO117" t="n">
        <v>83988</v>
      </c>
      <c r="BP117" t="n">
        <v>109234</v>
      </c>
      <c r="BQ117" t="n">
        <v>86972</v>
      </c>
      <c r="BR117" t="n">
        <v>125752</v>
      </c>
      <c r="BS117" t="n">
        <v>103830</v>
      </c>
      <c r="BT117" t="n">
        <v>78258</v>
      </c>
      <c r="BU117" t="n">
        <v>100215</v>
      </c>
      <c r="BV117" t="n">
        <v>115936</v>
      </c>
      <c r="BW117" t="n">
        <v>102680</v>
      </c>
      <c r="BX117" t="n">
        <v>101676</v>
      </c>
      <c r="BY117" t="n">
        <v>131501</v>
      </c>
      <c r="CB117" t="inlineStr">
        <is>
          <t>Ações digitais</t>
        </is>
      </c>
      <c r="CC117">
        <f>IFERROR(CHOOSE(MATCH($CB$6,{"Ano Completo","1º Semestre","2º Semestre","1º Trimestre","2º Trimestre","3º Trimestre","4º Trimestre"},0),SUM(CD117:CO117),SUM(CD117:CI117),SUM(CJ117:CO117),SUM(CD117:CF117),SUM(CG117:CI117),SUM(CJ117:CL117),SUM(CM117:CO117)),0)</f>
        <v/>
      </c>
      <c r="CD117" t="n">
        <v>98007</v>
      </c>
      <c r="CE117" t="n">
        <v>98085</v>
      </c>
      <c r="CF117" t="n">
        <v>69772</v>
      </c>
      <c r="CG117" t="n">
        <v>66681</v>
      </c>
      <c r="CH117" t="n">
        <v>90341</v>
      </c>
      <c r="CI117" t="n">
        <v>74194</v>
      </c>
      <c r="CJ117" t="n">
        <v>89655</v>
      </c>
      <c r="CK117" t="n">
        <v>58883</v>
      </c>
      <c r="CL117" t="n">
        <v>114673</v>
      </c>
      <c r="CM117" t="n">
        <v>77781</v>
      </c>
      <c r="CN117" t="n">
        <v>97188</v>
      </c>
      <c r="CO117" t="n">
        <v>73159</v>
      </c>
      <c r="CQ117" t="inlineStr">
        <is>
          <t>Ações digitais</t>
        </is>
      </c>
      <c r="CR117">
        <f>IFERROR(CHOOSE(MATCH($CQ$6,{"Ano Completo","1º Semestre","2º Semestre","1º Trimestre","2º Trimestre","3º Trimestre","4º Trimestre"},0),SUM(CS117:DD117),SUM(CS117:CX117),SUM(CY117:DD117),SUM(CS117:CU117),SUM(CV117:CX117),SUM(CY117:DA117),SUM(DB117:DD117)),0)</f>
        <v/>
      </c>
      <c r="CS117" t="n">
        <v>59744</v>
      </c>
      <c r="CT117" t="n">
        <v>83988</v>
      </c>
      <c r="CU117" t="n">
        <v>109234</v>
      </c>
      <c r="CV117" t="n">
        <v>86972</v>
      </c>
      <c r="CW117" t="n">
        <v>125752</v>
      </c>
      <c r="CX117" t="n">
        <v>103830</v>
      </c>
      <c r="CY117" t="n">
        <v>78258</v>
      </c>
      <c r="CZ117" t="n">
        <v>100215</v>
      </c>
      <c r="DA117" t="n">
        <v>115936</v>
      </c>
      <c r="DB117" t="n">
        <v>102680</v>
      </c>
      <c r="DC117" t="n">
        <v>101676</v>
      </c>
      <c r="DD117" t="n">
        <v>131501</v>
      </c>
      <c r="DG117" t="inlineStr">
        <is>
          <t>Ações digitais</t>
        </is>
      </c>
      <c r="DH117">
        <f>IFERROR(CHOOSE(MATCH($DG$6,{"Ano Completo","1º Semestre","2º Semestre","1º Trimestre","2º Trimestre","3º Trimestre","4º Trimestre"},0),SUM(DI117:DT117),SUM(DI117:DN117),SUM(DO117:DT117),SUM(DI117:DK117),SUM(DL117:DN117),SUM(DO117:DQ117),SUM(DR117:DT117)),0)</f>
        <v/>
      </c>
      <c r="DI117" t="n">
        <v>98007</v>
      </c>
      <c r="DJ117" t="n">
        <v>98085</v>
      </c>
      <c r="DK117" t="n">
        <v>69772</v>
      </c>
      <c r="DL117" t="n">
        <v>66681</v>
      </c>
      <c r="DM117" t="n">
        <v>90341</v>
      </c>
      <c r="DN117" t="n">
        <v>74194</v>
      </c>
      <c r="DO117" t="n">
        <v>89655</v>
      </c>
      <c r="DP117" t="n">
        <v>58883</v>
      </c>
      <c r="DQ117" t="n">
        <v>114673</v>
      </c>
      <c r="DR117" t="n">
        <v>77781</v>
      </c>
      <c r="DS117" t="n">
        <v>97188</v>
      </c>
      <c r="DT117" t="n">
        <v>73159</v>
      </c>
      <c r="DV117" t="inlineStr">
        <is>
          <t>Ações digitais</t>
        </is>
      </c>
      <c r="DW117">
        <f>IFERROR(CHOOSE(MATCH($DV$6,{"Ano Completo","1º Semestre","2º Semestre","1º Trimestre","2º Trimestre","3º Trimestre","4º Trimestre"},0),SUM(DX117:EI117),SUM(DX117:EC117),SUM(ED117:EI117),SUM(DX117:DZ117),SUM(EA117:EC117),SUM(ED117:EF117),SUM(EG117:EI117)),0)</f>
        <v/>
      </c>
      <c r="DX117" t="n">
        <v>59744</v>
      </c>
      <c r="DY117" t="n">
        <v>83988</v>
      </c>
      <c r="DZ117" t="n">
        <v>109234</v>
      </c>
      <c r="EA117" t="n">
        <v>86972</v>
      </c>
      <c r="EB117" t="n">
        <v>125752</v>
      </c>
      <c r="EC117" t="n">
        <v>103830</v>
      </c>
      <c r="ED117" t="n">
        <v>78258</v>
      </c>
      <c r="EE117" t="n">
        <v>100215</v>
      </c>
      <c r="EF117" t="n">
        <v>115936</v>
      </c>
      <c r="EG117" t="n">
        <v>102680</v>
      </c>
      <c r="EH117" t="n">
        <v>101676</v>
      </c>
      <c r="EI117" t="n">
        <v>131501</v>
      </c>
      <c r="EL117" t="inlineStr">
        <is>
          <t>Ações digitais</t>
        </is>
      </c>
      <c r="EM117">
        <f>IFERROR(CHOOSE(MATCH($EL$6,{"Ano Completo","1º Semestre","2º Semestre","1º Trimestre","2º Trimestre","3º Trimestre","4º Trimestre"},0),SUM(EN117:EY117),SUM(EN117:ES117),SUM(ET117:EY117),SUM(EN117:EP117),SUM(EQ117:ES117),SUM(ET117:EV117),SUM(EW117:EY117)),0)</f>
        <v/>
      </c>
      <c r="EN117" t="n">
        <v>98007</v>
      </c>
      <c r="EO117" t="n">
        <v>98085</v>
      </c>
      <c r="EP117" t="n">
        <v>69772</v>
      </c>
      <c r="EQ117" t="n">
        <v>66681</v>
      </c>
      <c r="ER117" t="n">
        <v>90341</v>
      </c>
      <c r="ES117" t="n">
        <v>74194</v>
      </c>
      <c r="ET117" t="n">
        <v>89655</v>
      </c>
      <c r="EU117" t="n">
        <v>58883</v>
      </c>
      <c r="EV117" t="n">
        <v>114673</v>
      </c>
      <c r="EW117" t="n">
        <v>77781</v>
      </c>
      <c r="EX117" t="n">
        <v>97188</v>
      </c>
      <c r="EY117" t="n">
        <v>73159</v>
      </c>
    </row>
    <row r="119">
      <c r="B119" s="4" t="inlineStr">
        <is>
          <t>Serviços terceirizados</t>
        </is>
      </c>
      <c r="C119">
        <f>IFERROR(CHOOSE(MATCH($B$6,{"Ano Completo","1º Semestre","2º Semestre","1º Trimestre","2º Trimestre","3º Trimestre","4º Trimestre"},0),SUM(D119:O119),SUM(D119:I119),SUM(J119:O119),SUM(D119:F119),SUM(G119:I119),SUM(J119:L119),SUM(M119:O119)),0)</f>
        <v/>
      </c>
      <c r="R119" s="4" t="inlineStr">
        <is>
          <t>Serviços terceirizados</t>
        </is>
      </c>
      <c r="S119">
        <f>IFERROR(CHOOSE(MATCH($R$6,{"Ano Completo","1º Semestre","2º Semestre","1º Trimestre","2º Trimestre","3º Trimestre","4º Trimestre"},0),SUM(T119:AE119),SUM(T119:Y119),SUM(Z119:AE119),SUM(T119:V119),SUM(W119:Y119),SUM(Z119:AB119),SUM(AC119:AE119)),0)</f>
        <v/>
      </c>
      <c r="AG119" s="4" t="inlineStr">
        <is>
          <t>Serviços terceirizados</t>
        </is>
      </c>
      <c r="AH119">
        <f>IFERROR(CHOOSE(MATCH($AG$6,{"Ano Completo","1º Semestre","2º Semestre","1º Trimestre","2º Trimestre","3º Trimestre","4º Trimestre"},0),SUM(AI119:AT119),SUM(AI119:AN119),SUM(AO119:AT119),SUM(AI119:AK119),SUM(AL119:AN119),SUM(AO119:AQ119),SUM(AR119:AT119)),0)</f>
        <v/>
      </c>
      <c r="AI119" t="n">
        <v>1626</v>
      </c>
      <c r="AJ119" t="n">
        <v>8106</v>
      </c>
      <c r="AK119" t="n">
        <v>15575</v>
      </c>
      <c r="AL119" t="n">
        <v>14070</v>
      </c>
      <c r="AM119" t="n">
        <v>7296</v>
      </c>
      <c r="AN119" t="n">
        <v>19646</v>
      </c>
      <c r="AO119" t="n">
        <v>2705</v>
      </c>
      <c r="AP119" t="n">
        <v>15488</v>
      </c>
      <c r="AQ119" t="n">
        <v>7339</v>
      </c>
      <c r="AR119" t="n">
        <v>19588</v>
      </c>
      <c r="AS119" t="n">
        <v>19987</v>
      </c>
      <c r="AT119" t="n">
        <v>6232</v>
      </c>
      <c r="AW119" s="4" t="inlineStr">
        <is>
          <t>Serviços terceirizados</t>
        </is>
      </c>
      <c r="AX119">
        <f>IFERROR(CHOOSE(MATCH($AW$6,{"Ano Completo","1º Semestre","2º Semestre","1º Trimestre","2º Trimestre","3º Trimestre","4º Trimestre"},0),SUM(AY119:BJ119),SUM(AY119:BD119),SUM(BE119:BJ119),SUM(AY119:BA119),SUM(BB119:BD119),SUM(BE119:BG119),SUM(BH119:BJ119)),0)</f>
        <v/>
      </c>
      <c r="AY119" t="n">
        <v>13628</v>
      </c>
      <c r="AZ119" t="n">
        <v>13277</v>
      </c>
      <c r="BA119" t="n">
        <v>11090</v>
      </c>
      <c r="BB119" t="n">
        <v>18060</v>
      </c>
      <c r="BC119" t="n">
        <v>10649</v>
      </c>
      <c r="BD119" t="n">
        <v>4847</v>
      </c>
      <c r="BE119" t="n">
        <v>15918</v>
      </c>
      <c r="BF119" t="n">
        <v>14152</v>
      </c>
      <c r="BG119" t="n">
        <v>15998</v>
      </c>
      <c r="BH119" t="n">
        <v>17556</v>
      </c>
      <c r="BI119" t="n">
        <v>18221</v>
      </c>
      <c r="BJ119" t="n">
        <v>15430</v>
      </c>
      <c r="BL119" s="4" t="inlineStr">
        <is>
          <t>Serviços terceirizados</t>
        </is>
      </c>
      <c r="BM119">
        <f>IFERROR(CHOOSE(MATCH($BL$6,{"Ano Completo","1º Semestre","2º Semestre","1º Trimestre","2º Trimestre","3º Trimestre","4º Trimestre"},0),SUM(BN119:BY119),SUM(BN119:BS119),SUM(BT119:BY119),SUM(BN119:BP119),SUM(BQ119:BS119),SUM(BT119:BV119),SUM(BW119:BY119)),0)</f>
        <v/>
      </c>
      <c r="BN119" t="n">
        <v>1626</v>
      </c>
      <c r="BO119" t="n">
        <v>8106</v>
      </c>
      <c r="BP119" t="n">
        <v>15575</v>
      </c>
      <c r="BQ119" t="n">
        <v>14070</v>
      </c>
      <c r="BR119" t="n">
        <v>7296</v>
      </c>
      <c r="BS119" t="n">
        <v>19646</v>
      </c>
      <c r="BT119" t="n">
        <v>2705</v>
      </c>
      <c r="BU119" t="n">
        <v>15488</v>
      </c>
      <c r="BV119" t="n">
        <v>7339</v>
      </c>
      <c r="BW119" t="n">
        <v>19588</v>
      </c>
      <c r="BX119" t="n">
        <v>19987</v>
      </c>
      <c r="BY119" t="n">
        <v>6232</v>
      </c>
      <c r="CB119" s="4" t="inlineStr">
        <is>
          <t>Serviços terceirizados</t>
        </is>
      </c>
      <c r="CC119">
        <f>IFERROR(CHOOSE(MATCH($CB$6,{"Ano Completo","1º Semestre","2º Semestre","1º Trimestre","2º Trimestre","3º Trimestre","4º Trimestre"},0),SUM(CD119:CO119),SUM(CD119:CI119),SUM(CJ119:CO119),SUM(CD119:CF119),SUM(CG119:CI119),SUM(CJ119:CL119),SUM(CM119:CO119)),0)</f>
        <v/>
      </c>
      <c r="CD119" t="n">
        <v>13628</v>
      </c>
      <c r="CE119" t="n">
        <v>13277</v>
      </c>
      <c r="CF119" t="n">
        <v>11090</v>
      </c>
      <c r="CG119" t="n">
        <v>18060</v>
      </c>
      <c r="CH119" t="n">
        <v>10649</v>
      </c>
      <c r="CI119" t="n">
        <v>4847</v>
      </c>
      <c r="CJ119" t="n">
        <v>15918</v>
      </c>
      <c r="CK119" t="n">
        <v>14152</v>
      </c>
      <c r="CL119" t="n">
        <v>15998</v>
      </c>
      <c r="CM119" t="n">
        <v>17556</v>
      </c>
      <c r="CN119" t="n">
        <v>18221</v>
      </c>
      <c r="CO119" t="n">
        <v>15430</v>
      </c>
      <c r="CQ119" s="4" t="inlineStr">
        <is>
          <t>Serviços terceirizados</t>
        </is>
      </c>
      <c r="CR119">
        <f>IFERROR(CHOOSE(MATCH($CQ$6,{"Ano Completo","1º Semestre","2º Semestre","1º Trimestre","2º Trimestre","3º Trimestre","4º Trimestre"},0),SUM(CS119:DD119),SUM(CS119:CX119),SUM(CY119:DD119),SUM(CS119:CU119),SUM(CV119:CX119),SUM(CY119:DA119),SUM(DB119:DD119)),0)</f>
        <v/>
      </c>
      <c r="CS119" t="n">
        <v>1626</v>
      </c>
      <c r="CT119" t="n">
        <v>8106</v>
      </c>
      <c r="CU119" t="n">
        <v>15575</v>
      </c>
      <c r="CV119" t="n">
        <v>14070</v>
      </c>
      <c r="CW119" t="n">
        <v>7296</v>
      </c>
      <c r="CX119" t="n">
        <v>19646</v>
      </c>
      <c r="CY119" t="n">
        <v>2705</v>
      </c>
      <c r="CZ119" t="n">
        <v>15488</v>
      </c>
      <c r="DA119" t="n">
        <v>7339</v>
      </c>
      <c r="DB119" t="n">
        <v>19588</v>
      </c>
      <c r="DC119" t="n">
        <v>19987</v>
      </c>
      <c r="DD119" t="n">
        <v>6232</v>
      </c>
      <c r="DG119" s="4" t="inlineStr">
        <is>
          <t>Serviços terceirizados</t>
        </is>
      </c>
      <c r="DH119">
        <f>IFERROR(CHOOSE(MATCH($DG$6,{"Ano Completo","1º Semestre","2º Semestre","1º Trimestre","2º Trimestre","3º Trimestre","4º Trimestre"},0),SUM(DI119:DT119),SUM(DI119:DN119),SUM(DO119:DT119),SUM(DI119:DK119),SUM(DL119:DN119),SUM(DO119:DQ119),SUM(DR119:DT119)),0)</f>
        <v/>
      </c>
      <c r="DI119" t="n">
        <v>13628</v>
      </c>
      <c r="DJ119" t="n">
        <v>13277</v>
      </c>
      <c r="DK119" t="n">
        <v>11090</v>
      </c>
      <c r="DL119" t="n">
        <v>18060</v>
      </c>
      <c r="DM119" t="n">
        <v>10649</v>
      </c>
      <c r="DN119" t="n">
        <v>4847</v>
      </c>
      <c r="DO119" t="n">
        <v>15918</v>
      </c>
      <c r="DP119" t="n">
        <v>14152</v>
      </c>
      <c r="DQ119" t="n">
        <v>15998</v>
      </c>
      <c r="DR119" t="n">
        <v>17556</v>
      </c>
      <c r="DS119" t="n">
        <v>18221</v>
      </c>
      <c r="DT119" t="n">
        <v>15430</v>
      </c>
      <c r="DV119" s="4" t="inlineStr">
        <is>
          <t>Serviços terceirizados</t>
        </is>
      </c>
      <c r="DW119">
        <f>IFERROR(CHOOSE(MATCH($DV$6,{"Ano Completo","1º Semestre","2º Semestre","1º Trimestre","2º Trimestre","3º Trimestre","4º Trimestre"},0),SUM(DX119:EI119),SUM(DX119:EC119),SUM(ED119:EI119),SUM(DX119:DZ119),SUM(EA119:EC119),SUM(ED119:EF119),SUM(EG119:EI119)),0)</f>
        <v/>
      </c>
      <c r="DX119" t="n">
        <v>1626</v>
      </c>
      <c r="DY119" t="n">
        <v>8106</v>
      </c>
      <c r="DZ119" t="n">
        <v>15575</v>
      </c>
      <c r="EA119" t="n">
        <v>14070</v>
      </c>
      <c r="EB119" t="n">
        <v>7296</v>
      </c>
      <c r="EC119" t="n">
        <v>19646</v>
      </c>
      <c r="ED119" t="n">
        <v>2705</v>
      </c>
      <c r="EE119" t="n">
        <v>15488</v>
      </c>
      <c r="EF119" t="n">
        <v>7339</v>
      </c>
      <c r="EG119" t="n">
        <v>19588</v>
      </c>
      <c r="EH119" t="n">
        <v>19987</v>
      </c>
      <c r="EI119" t="n">
        <v>6232</v>
      </c>
      <c r="EL119" s="4" t="inlineStr">
        <is>
          <t>Serviços terceirizados</t>
        </is>
      </c>
      <c r="EM119">
        <f>IFERROR(CHOOSE(MATCH($EL$6,{"Ano Completo","1º Semestre","2º Semestre","1º Trimestre","2º Trimestre","3º Trimestre","4º Trimestre"},0),SUM(EN119:EY119),SUM(EN119:ES119),SUM(ET119:EY119),SUM(EN119:EP119),SUM(EQ119:ES119),SUM(ET119:EV119),SUM(EW119:EY119)),0)</f>
        <v/>
      </c>
      <c r="EN119" t="n">
        <v>13628</v>
      </c>
      <c r="EO119" t="n">
        <v>13277</v>
      </c>
      <c r="EP119" t="n">
        <v>11090</v>
      </c>
      <c r="EQ119" t="n">
        <v>18060</v>
      </c>
      <c r="ER119" t="n">
        <v>10649</v>
      </c>
      <c r="ES119" t="n">
        <v>4847</v>
      </c>
      <c r="ET119" t="n">
        <v>15918</v>
      </c>
      <c r="EU119" t="n">
        <v>14152</v>
      </c>
      <c r="EV119" t="n">
        <v>15998</v>
      </c>
      <c r="EW119" t="n">
        <v>17556</v>
      </c>
      <c r="EX119" t="n">
        <v>18221</v>
      </c>
      <c r="EY119" t="n">
        <v>15430</v>
      </c>
    </row>
    <row r="120">
      <c r="B120" s="4" t="inlineStr">
        <is>
          <t>Ações de SMS</t>
        </is>
      </c>
      <c r="C120">
        <f>IFERROR(CHOOSE(MATCH($B$6,{"Ano Completo","1º Semestre","2º Semestre","1º Trimestre","2º Trimestre","3º Trimestre","4º Trimestre"},0),SUM(D120:O120),SUM(D120:I120),SUM(J120:O120),SUM(D120:F120),SUM(G120:I120),SUM(J120:L120),SUM(M120:O120)),0)</f>
        <v/>
      </c>
      <c r="R120" s="4" t="inlineStr">
        <is>
          <t>Ações de SMS</t>
        </is>
      </c>
      <c r="S120">
        <f>IFERROR(CHOOSE(MATCH($R$6,{"Ano Completo","1º Semestre","2º Semestre","1º Trimestre","2º Trimestre","3º Trimestre","4º Trimestre"},0),SUM(T120:AE120),SUM(T120:Y120),SUM(Z120:AE120),SUM(T120:V120),SUM(W120:Y120),SUM(Z120:AB120),SUM(AC120:AE120)),0)</f>
        <v/>
      </c>
      <c r="AG120" s="4" t="inlineStr">
        <is>
          <t>Ações de SMS</t>
        </is>
      </c>
      <c r="AH120">
        <f>IFERROR(CHOOSE(MATCH($AG$6,{"Ano Completo","1º Semestre","2º Semestre","1º Trimestre","2º Trimestre","3º Trimestre","4º Trimestre"},0),SUM(AI120:AT120),SUM(AI120:AN120),SUM(AO120:AT120),SUM(AI120:AK120),SUM(AL120:AN120),SUM(AO120:AQ120),SUM(AR120:AT120)),0)</f>
        <v/>
      </c>
      <c r="AI120" t="n">
        <v>1274</v>
      </c>
      <c r="AJ120" t="n">
        <v>6768</v>
      </c>
      <c r="AK120" t="n">
        <v>16051</v>
      </c>
      <c r="AL120" t="n">
        <v>11924</v>
      </c>
      <c r="AM120" t="n">
        <v>13796</v>
      </c>
      <c r="AN120" t="n">
        <v>11170</v>
      </c>
      <c r="AO120" t="n">
        <v>1302</v>
      </c>
      <c r="AP120" t="n">
        <v>5215</v>
      </c>
      <c r="AQ120" t="n">
        <v>11009</v>
      </c>
      <c r="AR120" t="n">
        <v>12174</v>
      </c>
      <c r="AS120" t="n">
        <v>7730</v>
      </c>
      <c r="AT120" t="n">
        <v>3011</v>
      </c>
      <c r="AW120" s="4" t="inlineStr">
        <is>
          <t>Ações de SMS</t>
        </is>
      </c>
      <c r="AX120">
        <f>IFERROR(CHOOSE(MATCH($AW$6,{"Ano Completo","1º Semestre","2º Semestre","1º Trimestre","2º Trimestre","3º Trimestre","4º Trimestre"},0),SUM(AY120:BJ120),SUM(AY120:BD120),SUM(BE120:BJ120),SUM(AY120:BA120),SUM(BB120:BD120),SUM(BE120:BG120),SUM(BH120:BJ120)),0)</f>
        <v/>
      </c>
      <c r="AY120" t="n">
        <v>13276</v>
      </c>
      <c r="AZ120" t="n">
        <v>17215</v>
      </c>
      <c r="BA120" t="n">
        <v>16028</v>
      </c>
      <c r="BB120" t="n">
        <v>18365</v>
      </c>
      <c r="BC120" t="n">
        <v>1525</v>
      </c>
      <c r="BD120" t="n">
        <v>4320</v>
      </c>
      <c r="BE120" t="n">
        <v>16003</v>
      </c>
      <c r="BF120" t="n">
        <v>6750</v>
      </c>
      <c r="BG120" t="n">
        <v>3868</v>
      </c>
      <c r="BH120" t="n">
        <v>7527</v>
      </c>
      <c r="BI120" t="n">
        <v>19077</v>
      </c>
      <c r="BJ120" t="n">
        <v>3642</v>
      </c>
      <c r="BL120" s="4" t="inlineStr">
        <is>
          <t>Ações de SMS</t>
        </is>
      </c>
      <c r="BM120">
        <f>IFERROR(CHOOSE(MATCH($BL$6,{"Ano Completo","1º Semestre","2º Semestre","1º Trimestre","2º Trimestre","3º Trimestre","4º Trimestre"},0),SUM(BN120:BY120),SUM(BN120:BS120),SUM(BT120:BY120),SUM(BN120:BP120),SUM(BQ120:BS120),SUM(BT120:BV120),SUM(BW120:BY120)),0)</f>
        <v/>
      </c>
      <c r="BN120" t="n">
        <v>1274</v>
      </c>
      <c r="BO120" t="n">
        <v>6768</v>
      </c>
      <c r="BP120" t="n">
        <v>16051</v>
      </c>
      <c r="BQ120" t="n">
        <v>11924</v>
      </c>
      <c r="BR120" t="n">
        <v>13796</v>
      </c>
      <c r="BS120" t="n">
        <v>11170</v>
      </c>
      <c r="BT120" t="n">
        <v>1302</v>
      </c>
      <c r="BU120" t="n">
        <v>5215</v>
      </c>
      <c r="BV120" t="n">
        <v>11009</v>
      </c>
      <c r="BW120" t="n">
        <v>12174</v>
      </c>
      <c r="BX120" t="n">
        <v>7730</v>
      </c>
      <c r="BY120" t="n">
        <v>3011</v>
      </c>
      <c r="CB120" s="4" t="inlineStr">
        <is>
          <t>Ações de SMS</t>
        </is>
      </c>
      <c r="CC120">
        <f>IFERROR(CHOOSE(MATCH($CB$6,{"Ano Completo","1º Semestre","2º Semestre","1º Trimestre","2º Trimestre","3º Trimestre","4º Trimestre"},0),SUM(CD120:CO120),SUM(CD120:CI120),SUM(CJ120:CO120),SUM(CD120:CF120),SUM(CG120:CI120),SUM(CJ120:CL120),SUM(CM120:CO120)),0)</f>
        <v/>
      </c>
      <c r="CD120" t="n">
        <v>13276</v>
      </c>
      <c r="CE120" t="n">
        <v>17215</v>
      </c>
      <c r="CF120" t="n">
        <v>16028</v>
      </c>
      <c r="CG120" t="n">
        <v>18365</v>
      </c>
      <c r="CH120" t="n">
        <v>1525</v>
      </c>
      <c r="CI120" t="n">
        <v>4320</v>
      </c>
      <c r="CJ120" t="n">
        <v>16003</v>
      </c>
      <c r="CK120" t="n">
        <v>6750</v>
      </c>
      <c r="CL120" t="n">
        <v>3868</v>
      </c>
      <c r="CM120" t="n">
        <v>7527</v>
      </c>
      <c r="CN120" t="n">
        <v>19077</v>
      </c>
      <c r="CO120" t="n">
        <v>3642</v>
      </c>
      <c r="CQ120" s="4" t="inlineStr">
        <is>
          <t>Ações de SMS</t>
        </is>
      </c>
      <c r="CR120">
        <f>IFERROR(CHOOSE(MATCH($CQ$6,{"Ano Completo","1º Semestre","2º Semestre","1º Trimestre","2º Trimestre","3º Trimestre","4º Trimestre"},0),SUM(CS120:DD120),SUM(CS120:CX120),SUM(CY120:DD120),SUM(CS120:CU120),SUM(CV120:CX120),SUM(CY120:DA120),SUM(DB120:DD120)),0)</f>
        <v/>
      </c>
      <c r="CS120" t="n">
        <v>1274</v>
      </c>
      <c r="CT120" t="n">
        <v>6768</v>
      </c>
      <c r="CU120" t="n">
        <v>16051</v>
      </c>
      <c r="CV120" t="n">
        <v>11924</v>
      </c>
      <c r="CW120" t="n">
        <v>13796</v>
      </c>
      <c r="CX120" t="n">
        <v>11170</v>
      </c>
      <c r="CY120" t="n">
        <v>1302</v>
      </c>
      <c r="CZ120" t="n">
        <v>5215</v>
      </c>
      <c r="DA120" t="n">
        <v>11009</v>
      </c>
      <c r="DB120" t="n">
        <v>12174</v>
      </c>
      <c r="DC120" t="n">
        <v>7730</v>
      </c>
      <c r="DD120" t="n">
        <v>3011</v>
      </c>
      <c r="DG120" s="4" t="inlineStr">
        <is>
          <t>Ações de SMS</t>
        </is>
      </c>
      <c r="DH120">
        <f>IFERROR(CHOOSE(MATCH($DG$6,{"Ano Completo","1º Semestre","2º Semestre","1º Trimestre","2º Trimestre","3º Trimestre","4º Trimestre"},0),SUM(DI120:DT120),SUM(DI120:DN120),SUM(DO120:DT120),SUM(DI120:DK120),SUM(DL120:DN120),SUM(DO120:DQ120),SUM(DR120:DT120)),0)</f>
        <v/>
      </c>
      <c r="DI120" t="n">
        <v>13276</v>
      </c>
      <c r="DJ120" t="n">
        <v>17215</v>
      </c>
      <c r="DK120" t="n">
        <v>16028</v>
      </c>
      <c r="DL120" t="n">
        <v>18365</v>
      </c>
      <c r="DM120" t="n">
        <v>1525</v>
      </c>
      <c r="DN120" t="n">
        <v>4320</v>
      </c>
      <c r="DO120" t="n">
        <v>16003</v>
      </c>
      <c r="DP120" t="n">
        <v>6750</v>
      </c>
      <c r="DQ120" t="n">
        <v>3868</v>
      </c>
      <c r="DR120" t="n">
        <v>7527</v>
      </c>
      <c r="DS120" t="n">
        <v>19077</v>
      </c>
      <c r="DT120" t="n">
        <v>3642</v>
      </c>
      <c r="DV120" s="4" t="inlineStr">
        <is>
          <t>Ações de SMS</t>
        </is>
      </c>
      <c r="DW120">
        <f>IFERROR(CHOOSE(MATCH($DV$6,{"Ano Completo","1º Semestre","2º Semestre","1º Trimestre","2º Trimestre","3º Trimestre","4º Trimestre"},0),SUM(DX120:EI120),SUM(DX120:EC120),SUM(ED120:EI120),SUM(DX120:DZ120),SUM(EA120:EC120),SUM(ED120:EF120),SUM(EG120:EI120)),0)</f>
        <v/>
      </c>
      <c r="DX120" t="n">
        <v>1274</v>
      </c>
      <c r="DY120" t="n">
        <v>6768</v>
      </c>
      <c r="DZ120" t="n">
        <v>16051</v>
      </c>
      <c r="EA120" t="n">
        <v>11924</v>
      </c>
      <c r="EB120" t="n">
        <v>13796</v>
      </c>
      <c r="EC120" t="n">
        <v>11170</v>
      </c>
      <c r="ED120" t="n">
        <v>1302</v>
      </c>
      <c r="EE120" t="n">
        <v>5215</v>
      </c>
      <c r="EF120" t="n">
        <v>11009</v>
      </c>
      <c r="EG120" t="n">
        <v>12174</v>
      </c>
      <c r="EH120" t="n">
        <v>7730</v>
      </c>
      <c r="EI120" t="n">
        <v>3011</v>
      </c>
      <c r="EL120" s="4" t="inlineStr">
        <is>
          <t>Ações de SMS</t>
        </is>
      </c>
      <c r="EM120">
        <f>IFERROR(CHOOSE(MATCH($EL$6,{"Ano Completo","1º Semestre","2º Semestre","1º Trimestre","2º Trimestre","3º Trimestre","4º Trimestre"},0),SUM(EN120:EY120),SUM(EN120:ES120),SUM(ET120:EY120),SUM(EN120:EP120),SUM(EQ120:ES120),SUM(ET120:EV120),SUM(EW120:EY120)),0)</f>
        <v/>
      </c>
      <c r="EN120" t="n">
        <v>13276</v>
      </c>
      <c r="EO120" t="n">
        <v>17215</v>
      </c>
      <c r="EP120" t="n">
        <v>16028</v>
      </c>
      <c r="EQ120" t="n">
        <v>18365</v>
      </c>
      <c r="ER120" t="n">
        <v>1525</v>
      </c>
      <c r="ES120" t="n">
        <v>4320</v>
      </c>
      <c r="ET120" t="n">
        <v>16003</v>
      </c>
      <c r="EU120" t="n">
        <v>6750</v>
      </c>
      <c r="EV120" t="n">
        <v>3868</v>
      </c>
      <c r="EW120" t="n">
        <v>7527</v>
      </c>
      <c r="EX120" t="n">
        <v>19077</v>
      </c>
      <c r="EY120" t="n">
        <v>3642</v>
      </c>
    </row>
    <row r="121">
      <c r="B121" s="4" t="inlineStr">
        <is>
          <t>Ações de E-mail</t>
        </is>
      </c>
      <c r="C121">
        <f>IFERROR(CHOOSE(MATCH($B$6,{"Ano Completo","1º Semestre","2º Semestre","1º Trimestre","2º Trimestre","3º Trimestre","4º Trimestre"},0),SUM(D121:O121),SUM(D121:I121),SUM(J121:O121),SUM(D121:F121),SUM(G121:I121),SUM(J121:L121),SUM(M121:O121)),0)</f>
        <v/>
      </c>
      <c r="R121" s="4" t="inlineStr">
        <is>
          <t>Ações de E-mail</t>
        </is>
      </c>
      <c r="S121">
        <f>IFERROR(CHOOSE(MATCH($R$6,{"Ano Completo","1º Semestre","2º Semestre","1º Trimestre","2º Trimestre","3º Trimestre","4º Trimestre"},0),SUM(T121:AE121),SUM(T121:Y121),SUM(Z121:AE121),SUM(T121:V121),SUM(W121:Y121),SUM(Z121:AB121),SUM(AC121:AE121)),0)</f>
        <v/>
      </c>
      <c r="AG121" s="4" t="inlineStr">
        <is>
          <t>Ações de E-mail</t>
        </is>
      </c>
      <c r="AH121">
        <f>IFERROR(CHOOSE(MATCH($AG$6,{"Ano Completo","1º Semestre","2º Semestre","1º Trimestre","2º Trimestre","3º Trimestre","4º Trimestre"},0),SUM(AI121:AT121),SUM(AI121:AN121),SUM(AO121:AT121),SUM(AI121:AK121),SUM(AL121:AN121),SUM(AO121:AQ121),SUM(AR121:AT121)),0)</f>
        <v/>
      </c>
      <c r="AI121" t="n">
        <v>9733</v>
      </c>
      <c r="AJ121" t="n">
        <v>2131</v>
      </c>
      <c r="AK121" t="n">
        <v>6858</v>
      </c>
      <c r="AL121" t="n">
        <v>16468</v>
      </c>
      <c r="AM121" t="n">
        <v>14610</v>
      </c>
      <c r="AN121" t="n">
        <v>8276</v>
      </c>
      <c r="AO121" t="n">
        <v>4391</v>
      </c>
      <c r="AP121" t="n">
        <v>3010</v>
      </c>
      <c r="AQ121" t="n">
        <v>14548</v>
      </c>
      <c r="AR121" t="n">
        <v>17016</v>
      </c>
      <c r="AS121" t="n">
        <v>16103</v>
      </c>
      <c r="AT121" t="n">
        <v>19908</v>
      </c>
      <c r="AW121" s="4" t="inlineStr">
        <is>
          <t>Ações de E-mail</t>
        </is>
      </c>
      <c r="AX121">
        <f>IFERROR(CHOOSE(MATCH($AW$6,{"Ano Completo","1º Semestre","2º Semestre","1º Trimestre","2º Trimestre","3º Trimestre","4º Trimestre"},0),SUM(AY121:BJ121),SUM(AY121:BD121),SUM(BE121:BJ121),SUM(AY121:BA121),SUM(BB121:BD121),SUM(BE121:BG121),SUM(BH121:BJ121)),0)</f>
        <v/>
      </c>
      <c r="AY121" t="n">
        <v>18160</v>
      </c>
      <c r="AZ121" t="n">
        <v>3561</v>
      </c>
      <c r="BA121" t="n">
        <v>2512</v>
      </c>
      <c r="BB121" t="n">
        <v>4254</v>
      </c>
      <c r="BC121" t="n">
        <v>7770</v>
      </c>
      <c r="BD121" t="n">
        <v>15746</v>
      </c>
      <c r="BE121" t="n">
        <v>5827</v>
      </c>
      <c r="BF121" t="n">
        <v>7240</v>
      </c>
      <c r="BG121" t="n">
        <v>15210</v>
      </c>
      <c r="BH121" t="n">
        <v>18282</v>
      </c>
      <c r="BI121" t="n">
        <v>11124</v>
      </c>
      <c r="BJ121" t="n">
        <v>3993</v>
      </c>
      <c r="BL121" s="4" t="inlineStr">
        <is>
          <t>Ações de E-mail</t>
        </is>
      </c>
      <c r="BM121">
        <f>IFERROR(CHOOSE(MATCH($BL$6,{"Ano Completo","1º Semestre","2º Semestre","1º Trimestre","2º Trimestre","3º Trimestre","4º Trimestre"},0),SUM(BN121:BY121),SUM(BN121:BS121),SUM(BT121:BY121),SUM(BN121:BP121),SUM(BQ121:BS121),SUM(BT121:BV121),SUM(BW121:BY121)),0)</f>
        <v/>
      </c>
      <c r="BN121" t="n">
        <v>9733</v>
      </c>
      <c r="BO121" t="n">
        <v>2131</v>
      </c>
      <c r="BP121" t="n">
        <v>6858</v>
      </c>
      <c r="BQ121" t="n">
        <v>16468</v>
      </c>
      <c r="BR121" t="n">
        <v>14610</v>
      </c>
      <c r="BS121" t="n">
        <v>8276</v>
      </c>
      <c r="BT121" t="n">
        <v>4391</v>
      </c>
      <c r="BU121" t="n">
        <v>3010</v>
      </c>
      <c r="BV121" t="n">
        <v>14548</v>
      </c>
      <c r="BW121" t="n">
        <v>17016</v>
      </c>
      <c r="BX121" t="n">
        <v>16103</v>
      </c>
      <c r="BY121" t="n">
        <v>19908</v>
      </c>
      <c r="CB121" s="4" t="inlineStr">
        <is>
          <t>Ações de E-mail</t>
        </is>
      </c>
      <c r="CC121">
        <f>IFERROR(CHOOSE(MATCH($CB$6,{"Ano Completo","1º Semestre","2º Semestre","1º Trimestre","2º Trimestre","3º Trimestre","4º Trimestre"},0),SUM(CD121:CO121),SUM(CD121:CI121),SUM(CJ121:CO121),SUM(CD121:CF121),SUM(CG121:CI121),SUM(CJ121:CL121),SUM(CM121:CO121)),0)</f>
        <v/>
      </c>
      <c r="CD121" t="n">
        <v>18160</v>
      </c>
      <c r="CE121" t="n">
        <v>3561</v>
      </c>
      <c r="CF121" t="n">
        <v>2512</v>
      </c>
      <c r="CG121" t="n">
        <v>4254</v>
      </c>
      <c r="CH121" t="n">
        <v>7770</v>
      </c>
      <c r="CI121" t="n">
        <v>15746</v>
      </c>
      <c r="CJ121" t="n">
        <v>5827</v>
      </c>
      <c r="CK121" t="n">
        <v>7240</v>
      </c>
      <c r="CL121" t="n">
        <v>15210</v>
      </c>
      <c r="CM121" t="n">
        <v>18282</v>
      </c>
      <c r="CN121" t="n">
        <v>11124</v>
      </c>
      <c r="CO121" t="n">
        <v>3993</v>
      </c>
      <c r="CQ121" s="4" t="inlineStr">
        <is>
          <t>Ações de E-mail</t>
        </is>
      </c>
      <c r="CR121">
        <f>IFERROR(CHOOSE(MATCH($CQ$6,{"Ano Completo","1º Semestre","2º Semestre","1º Trimestre","2º Trimestre","3º Trimestre","4º Trimestre"},0),SUM(CS121:DD121),SUM(CS121:CX121),SUM(CY121:DD121),SUM(CS121:CU121),SUM(CV121:CX121),SUM(CY121:DA121),SUM(DB121:DD121)),0)</f>
        <v/>
      </c>
      <c r="CS121" t="n">
        <v>9733</v>
      </c>
      <c r="CT121" t="n">
        <v>2131</v>
      </c>
      <c r="CU121" t="n">
        <v>6858</v>
      </c>
      <c r="CV121" t="n">
        <v>16468</v>
      </c>
      <c r="CW121" t="n">
        <v>14610</v>
      </c>
      <c r="CX121" t="n">
        <v>8276</v>
      </c>
      <c r="CY121" t="n">
        <v>4391</v>
      </c>
      <c r="CZ121" t="n">
        <v>3010</v>
      </c>
      <c r="DA121" t="n">
        <v>14548</v>
      </c>
      <c r="DB121" t="n">
        <v>17016</v>
      </c>
      <c r="DC121" t="n">
        <v>16103</v>
      </c>
      <c r="DD121" t="n">
        <v>19908</v>
      </c>
      <c r="DG121" s="4" t="inlineStr">
        <is>
          <t>Ações de E-mail</t>
        </is>
      </c>
      <c r="DH121">
        <f>IFERROR(CHOOSE(MATCH($DG$6,{"Ano Completo","1º Semestre","2º Semestre","1º Trimestre","2º Trimestre","3º Trimestre","4º Trimestre"},0),SUM(DI121:DT121),SUM(DI121:DN121),SUM(DO121:DT121),SUM(DI121:DK121),SUM(DL121:DN121),SUM(DO121:DQ121),SUM(DR121:DT121)),0)</f>
        <v/>
      </c>
      <c r="DI121" t="n">
        <v>18160</v>
      </c>
      <c r="DJ121" t="n">
        <v>3561</v>
      </c>
      <c r="DK121" t="n">
        <v>2512</v>
      </c>
      <c r="DL121" t="n">
        <v>4254</v>
      </c>
      <c r="DM121" t="n">
        <v>7770</v>
      </c>
      <c r="DN121" t="n">
        <v>15746</v>
      </c>
      <c r="DO121" t="n">
        <v>5827</v>
      </c>
      <c r="DP121" t="n">
        <v>7240</v>
      </c>
      <c r="DQ121" t="n">
        <v>15210</v>
      </c>
      <c r="DR121" t="n">
        <v>18282</v>
      </c>
      <c r="DS121" t="n">
        <v>11124</v>
      </c>
      <c r="DT121" t="n">
        <v>3993</v>
      </c>
      <c r="DV121" s="4" t="inlineStr">
        <is>
          <t>Ações de E-mail</t>
        </is>
      </c>
      <c r="DW121">
        <f>IFERROR(CHOOSE(MATCH($DV$6,{"Ano Completo","1º Semestre","2º Semestre","1º Trimestre","2º Trimestre","3º Trimestre","4º Trimestre"},0),SUM(DX121:EI121),SUM(DX121:EC121),SUM(ED121:EI121),SUM(DX121:DZ121),SUM(EA121:EC121),SUM(ED121:EF121),SUM(EG121:EI121)),0)</f>
        <v/>
      </c>
      <c r="DX121" t="n">
        <v>9733</v>
      </c>
      <c r="DY121" t="n">
        <v>2131</v>
      </c>
      <c r="DZ121" t="n">
        <v>6858</v>
      </c>
      <c r="EA121" t="n">
        <v>16468</v>
      </c>
      <c r="EB121" t="n">
        <v>14610</v>
      </c>
      <c r="EC121" t="n">
        <v>8276</v>
      </c>
      <c r="ED121" t="n">
        <v>4391</v>
      </c>
      <c r="EE121" t="n">
        <v>3010</v>
      </c>
      <c r="EF121" t="n">
        <v>14548</v>
      </c>
      <c r="EG121" t="n">
        <v>17016</v>
      </c>
      <c r="EH121" t="n">
        <v>16103</v>
      </c>
      <c r="EI121" t="n">
        <v>19908</v>
      </c>
      <c r="EL121" s="4" t="inlineStr">
        <is>
          <t>Ações de E-mail</t>
        </is>
      </c>
      <c r="EM121">
        <f>IFERROR(CHOOSE(MATCH($EL$6,{"Ano Completo","1º Semestre","2º Semestre","1º Trimestre","2º Trimestre","3º Trimestre","4º Trimestre"},0),SUM(EN121:EY121),SUM(EN121:ES121),SUM(ET121:EY121),SUM(EN121:EP121),SUM(EQ121:ES121),SUM(ET121:EV121),SUM(EW121:EY121)),0)</f>
        <v/>
      </c>
      <c r="EN121" t="n">
        <v>18160</v>
      </c>
      <c r="EO121" t="n">
        <v>3561</v>
      </c>
      <c r="EP121" t="n">
        <v>2512</v>
      </c>
      <c r="EQ121" t="n">
        <v>4254</v>
      </c>
      <c r="ER121" t="n">
        <v>7770</v>
      </c>
      <c r="ES121" t="n">
        <v>15746</v>
      </c>
      <c r="ET121" t="n">
        <v>5827</v>
      </c>
      <c r="EU121" t="n">
        <v>7240</v>
      </c>
      <c r="EV121" t="n">
        <v>15210</v>
      </c>
      <c r="EW121" t="n">
        <v>18282</v>
      </c>
      <c r="EX121" t="n">
        <v>11124</v>
      </c>
      <c r="EY121" t="n">
        <v>3993</v>
      </c>
    </row>
    <row r="122">
      <c r="B122" s="4" t="inlineStr">
        <is>
          <t>Consultoria</t>
        </is>
      </c>
      <c r="C122">
        <f>IFERROR(CHOOSE(MATCH($B$6,{"Ano Completo","1º Semestre","2º Semestre","1º Trimestre","2º Trimestre","3º Trimestre","4º Trimestre"},0),SUM(D122:O122),SUM(D122:I122),SUM(J122:O122),SUM(D122:F122),SUM(G122:I122),SUM(J122:L122),SUM(M122:O122)),0)</f>
        <v/>
      </c>
      <c r="R122" s="4" t="inlineStr">
        <is>
          <t>Consultoria</t>
        </is>
      </c>
      <c r="S122">
        <f>IFERROR(CHOOSE(MATCH($R$6,{"Ano Completo","1º Semestre","2º Semestre","1º Trimestre","2º Trimestre","3º Trimestre","4º Trimestre"},0),SUM(T122:AE122),SUM(T122:Y122),SUM(Z122:AE122),SUM(T122:V122),SUM(W122:Y122),SUM(Z122:AB122),SUM(AC122:AE122)),0)</f>
        <v/>
      </c>
      <c r="AG122" s="4" t="inlineStr">
        <is>
          <t>Consultoria</t>
        </is>
      </c>
      <c r="AH122">
        <f>IFERROR(CHOOSE(MATCH($AG$6,{"Ano Completo","1º Semestre","2º Semestre","1º Trimestre","2º Trimestre","3º Trimestre","4º Trimestre"},0),SUM(AI122:AT122),SUM(AI122:AN122),SUM(AO122:AT122),SUM(AI122:AK122),SUM(AL122:AN122),SUM(AO122:AQ122),SUM(AR122:AT122)),0)</f>
        <v/>
      </c>
      <c r="AI122" t="n">
        <v>3030</v>
      </c>
      <c r="AJ122" t="n">
        <v>18273</v>
      </c>
      <c r="AK122" t="n">
        <v>16861</v>
      </c>
      <c r="AL122" t="n">
        <v>9871</v>
      </c>
      <c r="AM122" t="n">
        <v>16189</v>
      </c>
      <c r="AN122" t="n">
        <v>17305</v>
      </c>
      <c r="AO122" t="n">
        <v>13667</v>
      </c>
      <c r="AP122" t="n">
        <v>8933</v>
      </c>
      <c r="AQ122" t="n">
        <v>13311</v>
      </c>
      <c r="AR122" t="n">
        <v>19821</v>
      </c>
      <c r="AS122" t="n">
        <v>8094</v>
      </c>
      <c r="AT122" t="n">
        <v>17837</v>
      </c>
      <c r="AW122" s="4" t="inlineStr">
        <is>
          <t>Consultoria</t>
        </is>
      </c>
      <c r="AX122">
        <f>IFERROR(CHOOSE(MATCH($AW$6,{"Ano Completo","1º Semestre","2º Semestre","1º Trimestre","2º Trimestre","3º Trimestre","4º Trimestre"},0),SUM(AY122:BJ122),SUM(AY122:BD122),SUM(BE122:BJ122),SUM(AY122:BA122),SUM(BB122:BD122),SUM(BE122:BG122),SUM(BH122:BJ122)),0)</f>
        <v/>
      </c>
      <c r="AY122" t="n">
        <v>1101</v>
      </c>
      <c r="AZ122" t="n">
        <v>12576</v>
      </c>
      <c r="BA122" t="n">
        <v>5720</v>
      </c>
      <c r="BB122" t="n">
        <v>1367</v>
      </c>
      <c r="BC122" t="n">
        <v>18256</v>
      </c>
      <c r="BD122" t="n">
        <v>6370</v>
      </c>
      <c r="BE122" t="n">
        <v>5874</v>
      </c>
      <c r="BF122" t="n">
        <v>8207</v>
      </c>
      <c r="BG122" t="n">
        <v>13192</v>
      </c>
      <c r="BH122" t="n">
        <v>3335</v>
      </c>
      <c r="BI122" t="n">
        <v>2476</v>
      </c>
      <c r="BJ122" t="n">
        <v>11769</v>
      </c>
      <c r="BL122" s="4" t="inlineStr">
        <is>
          <t>Consultoria</t>
        </is>
      </c>
      <c r="BM122">
        <f>IFERROR(CHOOSE(MATCH($BL$6,{"Ano Completo","1º Semestre","2º Semestre","1º Trimestre","2º Trimestre","3º Trimestre","4º Trimestre"},0),SUM(BN122:BY122),SUM(BN122:BS122),SUM(BT122:BY122),SUM(BN122:BP122),SUM(BQ122:BS122),SUM(BT122:BV122),SUM(BW122:BY122)),0)</f>
        <v/>
      </c>
      <c r="BN122" t="n">
        <v>3030</v>
      </c>
      <c r="BO122" t="n">
        <v>18273</v>
      </c>
      <c r="BP122" t="n">
        <v>16861</v>
      </c>
      <c r="BQ122" t="n">
        <v>9871</v>
      </c>
      <c r="BR122" t="n">
        <v>16189</v>
      </c>
      <c r="BS122" t="n">
        <v>17305</v>
      </c>
      <c r="BT122" t="n">
        <v>13667</v>
      </c>
      <c r="BU122" t="n">
        <v>8933</v>
      </c>
      <c r="BV122" t="n">
        <v>13311</v>
      </c>
      <c r="BW122" t="n">
        <v>19821</v>
      </c>
      <c r="BX122" t="n">
        <v>8094</v>
      </c>
      <c r="BY122" t="n">
        <v>17837</v>
      </c>
      <c r="CB122" s="4" t="inlineStr">
        <is>
          <t>Consultoria</t>
        </is>
      </c>
      <c r="CC122">
        <f>IFERROR(CHOOSE(MATCH($CB$6,{"Ano Completo","1º Semestre","2º Semestre","1º Trimestre","2º Trimestre","3º Trimestre","4º Trimestre"},0),SUM(CD122:CO122),SUM(CD122:CI122),SUM(CJ122:CO122),SUM(CD122:CF122),SUM(CG122:CI122),SUM(CJ122:CL122),SUM(CM122:CO122)),0)</f>
        <v/>
      </c>
      <c r="CD122" t="n">
        <v>1101</v>
      </c>
      <c r="CE122" t="n">
        <v>12576</v>
      </c>
      <c r="CF122" t="n">
        <v>5720</v>
      </c>
      <c r="CG122" t="n">
        <v>1367</v>
      </c>
      <c r="CH122" t="n">
        <v>18256</v>
      </c>
      <c r="CI122" t="n">
        <v>6370</v>
      </c>
      <c r="CJ122" t="n">
        <v>5874</v>
      </c>
      <c r="CK122" t="n">
        <v>8207</v>
      </c>
      <c r="CL122" t="n">
        <v>13192</v>
      </c>
      <c r="CM122" t="n">
        <v>3335</v>
      </c>
      <c r="CN122" t="n">
        <v>2476</v>
      </c>
      <c r="CO122" t="n">
        <v>11769</v>
      </c>
      <c r="CQ122" s="4" t="inlineStr">
        <is>
          <t>Consultoria</t>
        </is>
      </c>
      <c r="CR122">
        <f>IFERROR(CHOOSE(MATCH($CQ$6,{"Ano Completo","1º Semestre","2º Semestre","1º Trimestre","2º Trimestre","3º Trimestre","4º Trimestre"},0),SUM(CS122:DD122),SUM(CS122:CX122),SUM(CY122:DD122),SUM(CS122:CU122),SUM(CV122:CX122),SUM(CY122:DA122),SUM(DB122:DD122)),0)</f>
        <v/>
      </c>
      <c r="CS122" t="n">
        <v>3030</v>
      </c>
      <c r="CT122" t="n">
        <v>18273</v>
      </c>
      <c r="CU122" t="n">
        <v>16861</v>
      </c>
      <c r="CV122" t="n">
        <v>9871</v>
      </c>
      <c r="CW122" t="n">
        <v>16189</v>
      </c>
      <c r="CX122" t="n">
        <v>17305</v>
      </c>
      <c r="CY122" t="n">
        <v>13667</v>
      </c>
      <c r="CZ122" t="n">
        <v>8933</v>
      </c>
      <c r="DA122" t="n">
        <v>13311</v>
      </c>
      <c r="DB122" t="n">
        <v>19821</v>
      </c>
      <c r="DC122" t="n">
        <v>8094</v>
      </c>
      <c r="DD122" t="n">
        <v>17837</v>
      </c>
      <c r="DG122" s="4" t="inlineStr">
        <is>
          <t>Consultoria</t>
        </is>
      </c>
      <c r="DH122">
        <f>IFERROR(CHOOSE(MATCH($DG$6,{"Ano Completo","1º Semestre","2º Semestre","1º Trimestre","2º Trimestre","3º Trimestre","4º Trimestre"},0),SUM(DI122:DT122),SUM(DI122:DN122),SUM(DO122:DT122),SUM(DI122:DK122),SUM(DL122:DN122),SUM(DO122:DQ122),SUM(DR122:DT122)),0)</f>
        <v/>
      </c>
      <c r="DI122" t="n">
        <v>1101</v>
      </c>
      <c r="DJ122" t="n">
        <v>12576</v>
      </c>
      <c r="DK122" t="n">
        <v>5720</v>
      </c>
      <c r="DL122" t="n">
        <v>1367</v>
      </c>
      <c r="DM122" t="n">
        <v>18256</v>
      </c>
      <c r="DN122" t="n">
        <v>6370</v>
      </c>
      <c r="DO122" t="n">
        <v>5874</v>
      </c>
      <c r="DP122" t="n">
        <v>8207</v>
      </c>
      <c r="DQ122" t="n">
        <v>13192</v>
      </c>
      <c r="DR122" t="n">
        <v>3335</v>
      </c>
      <c r="DS122" t="n">
        <v>2476</v>
      </c>
      <c r="DT122" t="n">
        <v>11769</v>
      </c>
      <c r="DV122" s="4" t="inlineStr">
        <is>
          <t>Consultoria</t>
        </is>
      </c>
      <c r="DW122">
        <f>IFERROR(CHOOSE(MATCH($DV$6,{"Ano Completo","1º Semestre","2º Semestre","1º Trimestre","2º Trimestre","3º Trimestre","4º Trimestre"},0),SUM(DX122:EI122),SUM(DX122:EC122),SUM(ED122:EI122),SUM(DX122:DZ122),SUM(EA122:EC122),SUM(ED122:EF122),SUM(EG122:EI122)),0)</f>
        <v/>
      </c>
      <c r="DX122" t="n">
        <v>3030</v>
      </c>
      <c r="DY122" t="n">
        <v>18273</v>
      </c>
      <c r="DZ122" t="n">
        <v>16861</v>
      </c>
      <c r="EA122" t="n">
        <v>9871</v>
      </c>
      <c r="EB122" t="n">
        <v>16189</v>
      </c>
      <c r="EC122" t="n">
        <v>17305</v>
      </c>
      <c r="ED122" t="n">
        <v>13667</v>
      </c>
      <c r="EE122" t="n">
        <v>8933</v>
      </c>
      <c r="EF122" t="n">
        <v>13311</v>
      </c>
      <c r="EG122" t="n">
        <v>19821</v>
      </c>
      <c r="EH122" t="n">
        <v>8094</v>
      </c>
      <c r="EI122" t="n">
        <v>17837</v>
      </c>
      <c r="EL122" s="4" t="inlineStr">
        <is>
          <t>Consultoria</t>
        </is>
      </c>
      <c r="EM122">
        <f>IFERROR(CHOOSE(MATCH($EL$6,{"Ano Completo","1º Semestre","2º Semestre","1º Trimestre","2º Trimestre","3º Trimestre","4º Trimestre"},0),SUM(EN122:EY122),SUM(EN122:ES122),SUM(ET122:EY122),SUM(EN122:EP122),SUM(EQ122:ES122),SUM(ET122:EV122),SUM(EW122:EY122)),0)</f>
        <v/>
      </c>
      <c r="EN122" t="n">
        <v>1101</v>
      </c>
      <c r="EO122" t="n">
        <v>12576</v>
      </c>
      <c r="EP122" t="n">
        <v>5720</v>
      </c>
      <c r="EQ122" t="n">
        <v>1367</v>
      </c>
      <c r="ER122" t="n">
        <v>18256</v>
      </c>
      <c r="ES122" t="n">
        <v>6370</v>
      </c>
      <c r="ET122" t="n">
        <v>5874</v>
      </c>
      <c r="EU122" t="n">
        <v>8207</v>
      </c>
      <c r="EV122" t="n">
        <v>13192</v>
      </c>
      <c r="EW122" t="n">
        <v>3335</v>
      </c>
      <c r="EX122" t="n">
        <v>2476</v>
      </c>
      <c r="EY122" t="n">
        <v>11769</v>
      </c>
    </row>
    <row r="123">
      <c r="B123" s="4" t="inlineStr">
        <is>
          <t>Ferramenta de Gestao</t>
        </is>
      </c>
      <c r="C123">
        <f>IFERROR(CHOOSE(MATCH($B$6,{"Ano Completo","1º Semestre","2º Semestre","1º Trimestre","2º Trimestre","3º Trimestre","4º Trimestre"},0),SUM(D123:O123),SUM(D123:I123),SUM(J123:O123),SUM(D123:F123),SUM(G123:I123),SUM(J123:L123),SUM(M123:O123)),0)</f>
        <v/>
      </c>
      <c r="R123" s="4" t="inlineStr">
        <is>
          <t>Ferramenta de Gestao</t>
        </is>
      </c>
      <c r="S123">
        <f>IFERROR(CHOOSE(MATCH($R$6,{"Ano Completo","1º Semestre","2º Semestre","1º Trimestre","2º Trimestre","3º Trimestre","4º Trimestre"},0),SUM(T123:AE123),SUM(T123:Y123),SUM(Z123:AE123),SUM(T123:V123),SUM(W123:Y123),SUM(Z123:AB123),SUM(AC123:AE123)),0)</f>
        <v/>
      </c>
      <c r="AG123" s="4" t="inlineStr">
        <is>
          <t>Ferramenta de Gestao</t>
        </is>
      </c>
      <c r="AH123">
        <f>IFERROR(CHOOSE(MATCH($AG$6,{"Ano Completo","1º Semestre","2º Semestre","1º Trimestre","2º Trimestre","3º Trimestre","4º Trimestre"},0),SUM(AI123:AT123),SUM(AI123:AN123),SUM(AO123:AT123),SUM(AI123:AK123),SUM(AL123:AN123),SUM(AO123:AQ123),SUM(AR123:AT123)),0)</f>
        <v/>
      </c>
      <c r="AW123" s="4" t="inlineStr">
        <is>
          <t>Ferramenta de Gestao</t>
        </is>
      </c>
      <c r="AX123">
        <f>IFERROR(CHOOSE(MATCH($AW$6,{"Ano Completo","1º Semestre","2º Semestre","1º Trimestre","2º Trimestre","3º Trimestre","4º Trimestre"},0),SUM(AY123:BJ123),SUM(AY123:BD123),SUM(BE123:BJ123),SUM(AY123:BA123),SUM(BB123:BD123),SUM(BE123:BG123),SUM(BH123:BJ123)),0)</f>
        <v/>
      </c>
      <c r="BL123" s="4" t="inlineStr">
        <is>
          <t>Ferramenta de Gestao</t>
        </is>
      </c>
      <c r="BM123">
        <f>IFERROR(CHOOSE(MATCH($BL$6,{"Ano Completo","1º Semestre","2º Semestre","1º Trimestre","2º Trimestre","3º Trimestre","4º Trimestre"},0),SUM(BN123:BY123),SUM(BN123:BS123),SUM(BT123:BY123),SUM(BN123:BP123),SUM(BQ123:BS123),SUM(BT123:BV123),SUM(BW123:BY123)),0)</f>
        <v/>
      </c>
      <c r="CB123" s="4" t="inlineStr">
        <is>
          <t>Ferramenta de Gestao</t>
        </is>
      </c>
      <c r="CC123">
        <f>IFERROR(CHOOSE(MATCH($CB$6,{"Ano Completo","1º Semestre","2º Semestre","1º Trimestre","2º Trimestre","3º Trimestre","4º Trimestre"},0),SUM(CD123:CO123),SUM(CD123:CI123),SUM(CJ123:CO123),SUM(CD123:CF123),SUM(CG123:CI123),SUM(CJ123:CL123),SUM(CM123:CO123)),0)</f>
        <v/>
      </c>
      <c r="CQ123" s="4" t="inlineStr">
        <is>
          <t>Ferramenta de Gestao</t>
        </is>
      </c>
      <c r="CR123">
        <f>IFERROR(CHOOSE(MATCH($CQ$6,{"Ano Completo","1º Semestre","2º Semestre","1º Trimestre","2º Trimestre","3º Trimestre","4º Trimestre"},0),SUM(CS123:DD123),SUM(CS123:CX123),SUM(CY123:DD123),SUM(CS123:CU123),SUM(CV123:CX123),SUM(CY123:DA123),SUM(DB123:DD123)),0)</f>
        <v/>
      </c>
      <c r="DG123" s="4" t="inlineStr">
        <is>
          <t>Ferramenta de Gestao</t>
        </is>
      </c>
      <c r="DH123">
        <f>IFERROR(CHOOSE(MATCH($DG$6,{"Ano Completo","1º Semestre","2º Semestre","1º Trimestre","2º Trimestre","3º Trimestre","4º Trimestre"},0),SUM(DI123:DT123),SUM(DI123:DN123),SUM(DO123:DT123),SUM(DI123:DK123),SUM(DL123:DN123),SUM(DO123:DQ123),SUM(DR123:DT123)),0)</f>
        <v/>
      </c>
      <c r="DV123" s="4" t="inlineStr">
        <is>
          <t>Ferramenta de Gestao</t>
        </is>
      </c>
      <c r="DW123">
        <f>IFERROR(CHOOSE(MATCH($DV$6,{"Ano Completo","1º Semestre","2º Semestre","1º Trimestre","2º Trimestre","3º Trimestre","4º Trimestre"},0),SUM(DX123:EI123),SUM(DX123:EC123),SUM(ED123:EI123),SUM(DX123:DZ123),SUM(EA123:EC123),SUM(ED123:EF123),SUM(EG123:EI123)),0)</f>
        <v/>
      </c>
      <c r="EL123" s="4" t="inlineStr">
        <is>
          <t>Ferramenta de Gestao</t>
        </is>
      </c>
      <c r="EM123">
        <f>IFERROR(CHOOSE(MATCH($EL$6,{"Ano Completo","1º Semestre","2º Semestre","1º Trimestre","2º Trimestre","3º Trimestre","4º Trimestre"},0),SUM(EN123:EY123),SUM(EN123:ES123),SUM(ET123:EY123),SUM(EN123:EP123),SUM(EQ123:ES123),SUM(ET123:EV123),SUM(EW123:EY123)),0)</f>
        <v/>
      </c>
    </row>
    <row r="124">
      <c r="B124" s="4" t="inlineStr">
        <is>
          <t>Ações RCS</t>
        </is>
      </c>
      <c r="C124">
        <f>IFERROR(CHOOSE(MATCH($B$6,{"Ano Completo","1º Semestre","2º Semestre","1º Trimestre","2º Trimestre","3º Trimestre","4º Trimestre"},0),SUM(D124:O124),SUM(D124:I124),SUM(J124:O124),SUM(D124:F124),SUM(G124:I124),SUM(J124:L124),SUM(M124:O124)),0)</f>
        <v/>
      </c>
      <c r="R124" s="4" t="inlineStr">
        <is>
          <t>Ações RCS</t>
        </is>
      </c>
      <c r="S124">
        <f>IFERROR(CHOOSE(MATCH($R$6,{"Ano Completo","1º Semestre","2º Semestre","1º Trimestre","2º Trimestre","3º Trimestre","4º Trimestre"},0),SUM(T124:AE124),SUM(T124:Y124),SUM(Z124:AE124),SUM(T124:V124),SUM(W124:Y124),SUM(Z124:AB124),SUM(AC124:AE124)),0)</f>
        <v/>
      </c>
      <c r="AG124" s="4" t="inlineStr">
        <is>
          <t>Ações RCS</t>
        </is>
      </c>
      <c r="AH124">
        <f>IFERROR(CHOOSE(MATCH($AG$6,{"Ano Completo","1º Semestre","2º Semestre","1º Trimestre","2º Trimestre","3º Trimestre","4º Trimestre"},0),SUM(AI124:AT124),SUM(AI124:AN124),SUM(AO124:AT124),SUM(AI124:AK124),SUM(AL124:AN124),SUM(AO124:AQ124),SUM(AR124:AT124)),0)</f>
        <v/>
      </c>
      <c r="AW124" s="4" t="inlineStr">
        <is>
          <t>Ações RCS</t>
        </is>
      </c>
      <c r="AX124">
        <f>IFERROR(CHOOSE(MATCH($AW$6,{"Ano Completo","1º Semestre","2º Semestre","1º Trimestre","2º Trimestre","3º Trimestre","4º Trimestre"},0),SUM(AY124:BJ124),SUM(AY124:BD124),SUM(BE124:BJ124),SUM(AY124:BA124),SUM(BB124:BD124),SUM(BE124:BG124),SUM(BH124:BJ124)),0)</f>
        <v/>
      </c>
      <c r="BL124" s="4" t="inlineStr">
        <is>
          <t>Ações RCS</t>
        </is>
      </c>
      <c r="BM124">
        <f>IFERROR(CHOOSE(MATCH($BL$6,{"Ano Completo","1º Semestre","2º Semestre","1º Trimestre","2º Trimestre","3º Trimestre","4º Trimestre"},0),SUM(BN124:BY124),SUM(BN124:BS124),SUM(BT124:BY124),SUM(BN124:BP124),SUM(BQ124:BS124),SUM(BT124:BV124),SUM(BW124:BY124)),0)</f>
        <v/>
      </c>
      <c r="CB124" s="4" t="inlineStr">
        <is>
          <t>Ações RCS</t>
        </is>
      </c>
      <c r="CC124">
        <f>IFERROR(CHOOSE(MATCH($CB$6,{"Ano Completo","1º Semestre","2º Semestre","1º Trimestre","2º Trimestre","3º Trimestre","4º Trimestre"},0),SUM(CD124:CO124),SUM(CD124:CI124),SUM(CJ124:CO124),SUM(CD124:CF124),SUM(CG124:CI124),SUM(CJ124:CL124),SUM(CM124:CO124)),0)</f>
        <v/>
      </c>
      <c r="CQ124" s="4" t="inlineStr">
        <is>
          <t>Ações RCS</t>
        </is>
      </c>
      <c r="CR124">
        <f>IFERROR(CHOOSE(MATCH($CQ$6,{"Ano Completo","1º Semestre","2º Semestre","1º Trimestre","2º Trimestre","3º Trimestre","4º Trimestre"},0),SUM(CS124:DD124),SUM(CS124:CX124),SUM(CY124:DD124),SUM(CS124:CU124),SUM(CV124:CX124),SUM(CY124:DA124),SUM(DB124:DD124)),0)</f>
        <v/>
      </c>
      <c r="DG124" s="4" t="inlineStr">
        <is>
          <t>Ações RCS</t>
        </is>
      </c>
      <c r="DH124">
        <f>IFERROR(CHOOSE(MATCH($DG$6,{"Ano Completo","1º Semestre","2º Semestre","1º Trimestre","2º Trimestre","3º Trimestre","4º Trimestre"},0),SUM(DI124:DT124),SUM(DI124:DN124),SUM(DO124:DT124),SUM(DI124:DK124),SUM(DL124:DN124),SUM(DO124:DQ124),SUM(DR124:DT124)),0)</f>
        <v/>
      </c>
      <c r="DV124" s="4" t="inlineStr">
        <is>
          <t>Ações RCS</t>
        </is>
      </c>
      <c r="DW124">
        <f>IFERROR(CHOOSE(MATCH($DV$6,{"Ano Completo","1º Semestre","2º Semestre","1º Trimestre","2º Trimestre","3º Trimestre","4º Trimestre"},0),SUM(DX124:EI124),SUM(DX124:EC124),SUM(ED124:EI124),SUM(DX124:DZ124),SUM(EA124:EC124),SUM(ED124:EF124),SUM(EG124:EI124)),0)</f>
        <v/>
      </c>
      <c r="EL124" s="4" t="inlineStr">
        <is>
          <t>Ações RCS</t>
        </is>
      </c>
      <c r="EM124">
        <f>IFERROR(CHOOSE(MATCH($EL$6,{"Ano Completo","1º Semestre","2º Semestre","1º Trimestre","2º Trimestre","3º Trimestre","4º Trimestre"},0),SUM(EN124:EY124),SUM(EN124:ES124),SUM(ET124:EY124),SUM(EN124:EP124),SUM(EQ124:ES124),SUM(ET124:EV124),SUM(EW124:EY124)),0)</f>
        <v/>
      </c>
    </row>
    <row r="125">
      <c r="B125" s="4" t="inlineStr">
        <is>
          <t>Ações de mídia social</t>
        </is>
      </c>
      <c r="C125">
        <f>IFERROR(CHOOSE(MATCH($B$6,{"Ano Completo","1º Semestre","2º Semestre","1º Trimestre","2º Trimestre","3º Trimestre","4º Trimestre"},0),SUM(D125:O125),SUM(D125:I125),SUM(J125:O125),SUM(D125:F125),SUM(G125:I125),SUM(J125:L125),SUM(M125:O125)),0)</f>
        <v/>
      </c>
      <c r="R125" s="4" t="inlineStr">
        <is>
          <t>Ações de mídia social</t>
        </is>
      </c>
      <c r="S125">
        <f>IFERROR(CHOOSE(MATCH($R$6,{"Ano Completo","1º Semestre","2º Semestre","1º Trimestre","2º Trimestre","3º Trimestre","4º Trimestre"},0),SUM(T125:AE125),SUM(T125:Y125),SUM(Z125:AE125),SUM(T125:V125),SUM(W125:Y125),SUM(Z125:AB125),SUM(AC125:AE125)),0)</f>
        <v/>
      </c>
      <c r="AG125" s="4" t="inlineStr">
        <is>
          <t>Ações de mídia social</t>
        </is>
      </c>
      <c r="AH125">
        <f>IFERROR(CHOOSE(MATCH($AG$6,{"Ano Completo","1º Semestre","2º Semestre","1º Trimestre","2º Trimestre","3º Trimestre","4º Trimestre"},0),SUM(AI125:AT125),SUM(AI125:AN125),SUM(AO125:AT125),SUM(AI125:AK125),SUM(AL125:AN125),SUM(AO125:AQ125),SUM(AR125:AT125)),0)</f>
        <v/>
      </c>
      <c r="AI125" t="n">
        <v>11103</v>
      </c>
      <c r="AJ125" t="n">
        <v>4285</v>
      </c>
      <c r="AK125" t="n">
        <v>9070</v>
      </c>
      <c r="AL125" t="n">
        <v>8270</v>
      </c>
      <c r="AM125" t="n">
        <v>19986</v>
      </c>
      <c r="AN125" t="n">
        <v>1730</v>
      </c>
      <c r="AO125" t="n">
        <v>7977</v>
      </c>
      <c r="AP125" t="n">
        <v>18415</v>
      </c>
      <c r="AQ125" t="n">
        <v>12929</v>
      </c>
      <c r="AR125" t="n">
        <v>8385</v>
      </c>
      <c r="AS125" t="n">
        <v>9672</v>
      </c>
      <c r="AT125" t="n">
        <v>18461</v>
      </c>
      <c r="AW125" s="4" t="inlineStr">
        <is>
          <t>Ações de mídia social</t>
        </is>
      </c>
      <c r="AX125">
        <f>IFERROR(CHOOSE(MATCH($AW$6,{"Ano Completo","1º Semestre","2º Semestre","1º Trimestre","2º Trimestre","3º Trimestre","4º Trimestre"},0),SUM(AY125:BJ125),SUM(AY125:BD125),SUM(BE125:BJ125),SUM(AY125:BA125),SUM(BB125:BD125),SUM(BE125:BG125),SUM(BH125:BJ125)),0)</f>
        <v/>
      </c>
      <c r="AY125" t="n">
        <v>18949</v>
      </c>
      <c r="AZ125" t="n">
        <v>1432</v>
      </c>
      <c r="BA125" t="n">
        <v>12751</v>
      </c>
      <c r="BB125" t="n">
        <v>3090</v>
      </c>
      <c r="BC125" t="n">
        <v>2003</v>
      </c>
      <c r="BD125" t="n">
        <v>3428</v>
      </c>
      <c r="BE125" t="n">
        <v>4184</v>
      </c>
      <c r="BF125" t="n">
        <v>2582</v>
      </c>
      <c r="BG125" t="n">
        <v>8794</v>
      </c>
      <c r="BH125" t="n">
        <v>6810</v>
      </c>
      <c r="BI125" t="n">
        <v>5805</v>
      </c>
      <c r="BJ125" t="n">
        <v>1946</v>
      </c>
      <c r="BL125" s="4" t="inlineStr">
        <is>
          <t>Ações de mídia social</t>
        </is>
      </c>
      <c r="BM125">
        <f>IFERROR(CHOOSE(MATCH($BL$6,{"Ano Completo","1º Semestre","2º Semestre","1º Trimestre","2º Trimestre","3º Trimestre","4º Trimestre"},0),SUM(BN125:BY125),SUM(BN125:BS125),SUM(BT125:BY125),SUM(BN125:BP125),SUM(BQ125:BS125),SUM(BT125:BV125),SUM(BW125:BY125)),0)</f>
        <v/>
      </c>
      <c r="BN125" t="n">
        <v>11103</v>
      </c>
      <c r="BO125" t="n">
        <v>4285</v>
      </c>
      <c r="BP125" t="n">
        <v>9070</v>
      </c>
      <c r="BQ125" t="n">
        <v>8270</v>
      </c>
      <c r="BR125" t="n">
        <v>19986</v>
      </c>
      <c r="BS125" t="n">
        <v>1730</v>
      </c>
      <c r="BT125" t="n">
        <v>7977</v>
      </c>
      <c r="BU125" t="n">
        <v>18415</v>
      </c>
      <c r="BV125" t="n">
        <v>12929</v>
      </c>
      <c r="BW125" t="n">
        <v>8385</v>
      </c>
      <c r="BX125" t="n">
        <v>9672</v>
      </c>
      <c r="BY125" t="n">
        <v>18461</v>
      </c>
      <c r="CB125" s="4" t="inlineStr">
        <is>
          <t>Ações de mídia social</t>
        </is>
      </c>
      <c r="CC125">
        <f>IFERROR(CHOOSE(MATCH($CB$6,{"Ano Completo","1º Semestre","2º Semestre","1º Trimestre","2º Trimestre","3º Trimestre","4º Trimestre"},0),SUM(CD125:CO125),SUM(CD125:CI125),SUM(CJ125:CO125),SUM(CD125:CF125),SUM(CG125:CI125),SUM(CJ125:CL125),SUM(CM125:CO125)),0)</f>
        <v/>
      </c>
      <c r="CD125" t="n">
        <v>18949</v>
      </c>
      <c r="CE125" t="n">
        <v>1432</v>
      </c>
      <c r="CF125" t="n">
        <v>12751</v>
      </c>
      <c r="CG125" t="n">
        <v>3090</v>
      </c>
      <c r="CH125" t="n">
        <v>2003</v>
      </c>
      <c r="CI125" t="n">
        <v>3428</v>
      </c>
      <c r="CJ125" t="n">
        <v>4184</v>
      </c>
      <c r="CK125" t="n">
        <v>2582</v>
      </c>
      <c r="CL125" t="n">
        <v>8794</v>
      </c>
      <c r="CM125" t="n">
        <v>6810</v>
      </c>
      <c r="CN125" t="n">
        <v>5805</v>
      </c>
      <c r="CO125" t="n">
        <v>1946</v>
      </c>
      <c r="CQ125" s="4" t="inlineStr">
        <is>
          <t>Ações de mídia social</t>
        </is>
      </c>
      <c r="CR125">
        <f>IFERROR(CHOOSE(MATCH($CQ$6,{"Ano Completo","1º Semestre","2º Semestre","1º Trimestre","2º Trimestre","3º Trimestre","4º Trimestre"},0),SUM(CS125:DD125),SUM(CS125:CX125),SUM(CY125:DD125),SUM(CS125:CU125),SUM(CV125:CX125),SUM(CY125:DA125),SUM(DB125:DD125)),0)</f>
        <v/>
      </c>
      <c r="CS125" t="n">
        <v>11103</v>
      </c>
      <c r="CT125" t="n">
        <v>4285</v>
      </c>
      <c r="CU125" t="n">
        <v>9070</v>
      </c>
      <c r="CV125" t="n">
        <v>8270</v>
      </c>
      <c r="CW125" t="n">
        <v>19986</v>
      </c>
      <c r="CX125" t="n">
        <v>1730</v>
      </c>
      <c r="CY125" t="n">
        <v>7977</v>
      </c>
      <c r="CZ125" t="n">
        <v>18415</v>
      </c>
      <c r="DA125" t="n">
        <v>12929</v>
      </c>
      <c r="DB125" t="n">
        <v>8385</v>
      </c>
      <c r="DC125" t="n">
        <v>9672</v>
      </c>
      <c r="DD125" t="n">
        <v>18461</v>
      </c>
      <c r="DG125" s="4" t="inlineStr">
        <is>
          <t>Ações de mídia social</t>
        </is>
      </c>
      <c r="DH125">
        <f>IFERROR(CHOOSE(MATCH($DG$6,{"Ano Completo","1º Semestre","2º Semestre","1º Trimestre","2º Trimestre","3º Trimestre","4º Trimestre"},0),SUM(DI125:DT125),SUM(DI125:DN125),SUM(DO125:DT125),SUM(DI125:DK125),SUM(DL125:DN125),SUM(DO125:DQ125),SUM(DR125:DT125)),0)</f>
        <v/>
      </c>
      <c r="DI125" t="n">
        <v>18949</v>
      </c>
      <c r="DJ125" t="n">
        <v>1432</v>
      </c>
      <c r="DK125" t="n">
        <v>12751</v>
      </c>
      <c r="DL125" t="n">
        <v>3090</v>
      </c>
      <c r="DM125" t="n">
        <v>2003</v>
      </c>
      <c r="DN125" t="n">
        <v>3428</v>
      </c>
      <c r="DO125" t="n">
        <v>4184</v>
      </c>
      <c r="DP125" t="n">
        <v>2582</v>
      </c>
      <c r="DQ125" t="n">
        <v>8794</v>
      </c>
      <c r="DR125" t="n">
        <v>6810</v>
      </c>
      <c r="DS125" t="n">
        <v>5805</v>
      </c>
      <c r="DT125" t="n">
        <v>1946</v>
      </c>
      <c r="DV125" s="4" t="inlineStr">
        <is>
          <t>Ações de mídia social</t>
        </is>
      </c>
      <c r="DW125">
        <f>IFERROR(CHOOSE(MATCH($DV$6,{"Ano Completo","1º Semestre","2º Semestre","1º Trimestre","2º Trimestre","3º Trimestre","4º Trimestre"},0),SUM(DX125:EI125),SUM(DX125:EC125),SUM(ED125:EI125),SUM(DX125:DZ125),SUM(EA125:EC125),SUM(ED125:EF125),SUM(EG125:EI125)),0)</f>
        <v/>
      </c>
      <c r="DX125" t="n">
        <v>11103</v>
      </c>
      <c r="DY125" t="n">
        <v>4285</v>
      </c>
      <c r="DZ125" t="n">
        <v>9070</v>
      </c>
      <c r="EA125" t="n">
        <v>8270</v>
      </c>
      <c r="EB125" t="n">
        <v>19986</v>
      </c>
      <c r="EC125" t="n">
        <v>1730</v>
      </c>
      <c r="ED125" t="n">
        <v>7977</v>
      </c>
      <c r="EE125" t="n">
        <v>18415</v>
      </c>
      <c r="EF125" t="n">
        <v>12929</v>
      </c>
      <c r="EG125" t="n">
        <v>8385</v>
      </c>
      <c r="EH125" t="n">
        <v>9672</v>
      </c>
      <c r="EI125" t="n">
        <v>18461</v>
      </c>
      <c r="EL125" s="4" t="inlineStr">
        <is>
          <t>Ações de mídia social</t>
        </is>
      </c>
      <c r="EM125">
        <f>IFERROR(CHOOSE(MATCH($EL$6,{"Ano Completo","1º Semestre","2º Semestre","1º Trimestre","2º Trimestre","3º Trimestre","4º Trimestre"},0),SUM(EN125:EY125),SUM(EN125:ES125),SUM(ET125:EY125),SUM(EN125:EP125),SUM(EQ125:ES125),SUM(ET125:EV125),SUM(EW125:EY125)),0)</f>
        <v/>
      </c>
      <c r="EN125" t="n">
        <v>18949</v>
      </c>
      <c r="EO125" t="n">
        <v>1432</v>
      </c>
      <c r="EP125" t="n">
        <v>12751</v>
      </c>
      <c r="EQ125" t="n">
        <v>3090</v>
      </c>
      <c r="ER125" t="n">
        <v>2003</v>
      </c>
      <c r="ES125" t="n">
        <v>3428</v>
      </c>
      <c r="ET125" t="n">
        <v>4184</v>
      </c>
      <c r="EU125" t="n">
        <v>2582</v>
      </c>
      <c r="EV125" t="n">
        <v>8794</v>
      </c>
      <c r="EW125" t="n">
        <v>6810</v>
      </c>
      <c r="EX125" t="n">
        <v>5805</v>
      </c>
      <c r="EY125" t="n">
        <v>1946</v>
      </c>
    </row>
    <row r="126">
      <c r="B126" s="4" t="inlineStr">
        <is>
          <t>CRM</t>
        </is>
      </c>
      <c r="C126">
        <f>IFERROR(CHOOSE(MATCH($B$6,{"Ano Completo","1º Semestre","2º Semestre","1º Trimestre","2º Trimestre","3º Trimestre","4º Trimestre"},0),SUM(D126:O126),SUM(D126:I126),SUM(J126:O126),SUM(D126:F126),SUM(G126:I126),SUM(J126:L126),SUM(M126:O126)),0)</f>
        <v/>
      </c>
      <c r="R126" s="4" t="inlineStr">
        <is>
          <t>CRM</t>
        </is>
      </c>
      <c r="S126">
        <f>IFERROR(CHOOSE(MATCH($R$6,{"Ano Completo","1º Semestre","2º Semestre","1º Trimestre","2º Trimestre","3º Trimestre","4º Trimestre"},0),SUM(T126:AE126),SUM(T126:Y126),SUM(Z126:AE126),SUM(T126:V126),SUM(W126:Y126),SUM(Z126:AB126),SUM(AC126:AE126)),0)</f>
        <v/>
      </c>
      <c r="AG126" s="4" t="inlineStr">
        <is>
          <t>CRM</t>
        </is>
      </c>
      <c r="AH126">
        <f>IFERROR(CHOOSE(MATCH($AG$6,{"Ano Completo","1º Semestre","2º Semestre","1º Trimestre","2º Trimestre","3º Trimestre","4º Trimestre"},0),SUM(AI126:AT126),SUM(AI126:AN126),SUM(AO126:AT126),SUM(AI126:AK126),SUM(AL126:AN126),SUM(AO126:AQ126),SUM(AR126:AT126)),0)</f>
        <v/>
      </c>
      <c r="AI126" t="n">
        <v>5714</v>
      </c>
      <c r="AJ126" t="n">
        <v>12401</v>
      </c>
      <c r="AK126" t="n">
        <v>15455</v>
      </c>
      <c r="AL126" t="n">
        <v>5541</v>
      </c>
      <c r="AM126" t="n">
        <v>12982</v>
      </c>
      <c r="AN126" t="n">
        <v>6833</v>
      </c>
      <c r="AO126" t="n">
        <v>10957</v>
      </c>
      <c r="AP126" t="n">
        <v>12448</v>
      </c>
      <c r="AQ126" t="n">
        <v>17213</v>
      </c>
      <c r="AR126" t="n">
        <v>5580</v>
      </c>
      <c r="AS126" t="n">
        <v>6139</v>
      </c>
      <c r="AT126" t="n">
        <v>17350</v>
      </c>
      <c r="AW126" s="4" t="inlineStr">
        <is>
          <t>CRM</t>
        </is>
      </c>
      <c r="AX126">
        <f>IFERROR(CHOOSE(MATCH($AW$6,{"Ano Completo","1º Semestre","2º Semestre","1º Trimestre","2º Trimestre","3º Trimestre","4º Trimestre"},0),SUM(AY126:BJ126),SUM(AY126:BD126),SUM(BE126:BJ126),SUM(AY126:BA126),SUM(BB126:BD126),SUM(BE126:BG126),SUM(BH126:BJ126)),0)</f>
        <v/>
      </c>
      <c r="AY126" t="n">
        <v>19889</v>
      </c>
      <c r="AZ126" t="n">
        <v>12793</v>
      </c>
      <c r="BA126" t="n">
        <v>6790</v>
      </c>
      <c r="BB126" t="n">
        <v>11631</v>
      </c>
      <c r="BC126" t="n">
        <v>2130</v>
      </c>
      <c r="BD126" t="n">
        <v>9528</v>
      </c>
      <c r="BE126" t="n">
        <v>18162</v>
      </c>
      <c r="BF126" t="n">
        <v>10371</v>
      </c>
      <c r="BG126" t="n">
        <v>15768</v>
      </c>
      <c r="BH126" t="n">
        <v>2391</v>
      </c>
      <c r="BI126" t="n">
        <v>2357</v>
      </c>
      <c r="BJ126" t="n">
        <v>4986</v>
      </c>
      <c r="BL126" s="4" t="inlineStr">
        <is>
          <t>CRM</t>
        </is>
      </c>
      <c r="BM126">
        <f>IFERROR(CHOOSE(MATCH($BL$6,{"Ano Completo","1º Semestre","2º Semestre","1º Trimestre","2º Trimestre","3º Trimestre","4º Trimestre"},0),SUM(BN126:BY126),SUM(BN126:BS126),SUM(BT126:BY126),SUM(BN126:BP126),SUM(BQ126:BS126),SUM(BT126:BV126),SUM(BW126:BY126)),0)</f>
        <v/>
      </c>
      <c r="BN126" t="n">
        <v>5714</v>
      </c>
      <c r="BO126" t="n">
        <v>12401</v>
      </c>
      <c r="BP126" t="n">
        <v>15455</v>
      </c>
      <c r="BQ126" t="n">
        <v>5541</v>
      </c>
      <c r="BR126" t="n">
        <v>12982</v>
      </c>
      <c r="BS126" t="n">
        <v>6833</v>
      </c>
      <c r="BT126" t="n">
        <v>10957</v>
      </c>
      <c r="BU126" t="n">
        <v>12448</v>
      </c>
      <c r="BV126" t="n">
        <v>17213</v>
      </c>
      <c r="BW126" t="n">
        <v>5580</v>
      </c>
      <c r="BX126" t="n">
        <v>6139</v>
      </c>
      <c r="BY126" t="n">
        <v>17350</v>
      </c>
      <c r="CB126" s="4" t="inlineStr">
        <is>
          <t>CRM</t>
        </is>
      </c>
      <c r="CC126">
        <f>IFERROR(CHOOSE(MATCH($CB$6,{"Ano Completo","1º Semestre","2º Semestre","1º Trimestre","2º Trimestre","3º Trimestre","4º Trimestre"},0),SUM(CD126:CO126),SUM(CD126:CI126),SUM(CJ126:CO126),SUM(CD126:CF126),SUM(CG126:CI126),SUM(CJ126:CL126),SUM(CM126:CO126)),0)</f>
        <v/>
      </c>
      <c r="CD126" t="n">
        <v>19889</v>
      </c>
      <c r="CE126" t="n">
        <v>12793</v>
      </c>
      <c r="CF126" t="n">
        <v>6790</v>
      </c>
      <c r="CG126" t="n">
        <v>11631</v>
      </c>
      <c r="CH126" t="n">
        <v>2130</v>
      </c>
      <c r="CI126" t="n">
        <v>9528</v>
      </c>
      <c r="CJ126" t="n">
        <v>18162</v>
      </c>
      <c r="CK126" t="n">
        <v>10371</v>
      </c>
      <c r="CL126" t="n">
        <v>15768</v>
      </c>
      <c r="CM126" t="n">
        <v>2391</v>
      </c>
      <c r="CN126" t="n">
        <v>2357</v>
      </c>
      <c r="CO126" t="n">
        <v>4986</v>
      </c>
      <c r="CQ126" s="4" t="inlineStr">
        <is>
          <t>CRM</t>
        </is>
      </c>
      <c r="CR126">
        <f>IFERROR(CHOOSE(MATCH($CQ$6,{"Ano Completo","1º Semestre","2º Semestre","1º Trimestre","2º Trimestre","3º Trimestre","4º Trimestre"},0),SUM(CS126:DD126),SUM(CS126:CX126),SUM(CY126:DD126),SUM(CS126:CU126),SUM(CV126:CX126),SUM(CY126:DA126),SUM(DB126:DD126)),0)</f>
        <v/>
      </c>
      <c r="CS126" t="n">
        <v>5714</v>
      </c>
      <c r="CT126" t="n">
        <v>12401</v>
      </c>
      <c r="CU126" t="n">
        <v>15455</v>
      </c>
      <c r="CV126" t="n">
        <v>5541</v>
      </c>
      <c r="CW126" t="n">
        <v>12982</v>
      </c>
      <c r="CX126" t="n">
        <v>6833</v>
      </c>
      <c r="CY126" t="n">
        <v>10957</v>
      </c>
      <c r="CZ126" t="n">
        <v>12448</v>
      </c>
      <c r="DA126" t="n">
        <v>17213</v>
      </c>
      <c r="DB126" t="n">
        <v>5580</v>
      </c>
      <c r="DC126" t="n">
        <v>6139</v>
      </c>
      <c r="DD126" t="n">
        <v>17350</v>
      </c>
      <c r="DG126" s="4" t="inlineStr">
        <is>
          <t>CRM</t>
        </is>
      </c>
      <c r="DH126">
        <f>IFERROR(CHOOSE(MATCH($DG$6,{"Ano Completo","1º Semestre","2º Semestre","1º Trimestre","2º Trimestre","3º Trimestre","4º Trimestre"},0),SUM(DI126:DT126),SUM(DI126:DN126),SUM(DO126:DT126),SUM(DI126:DK126),SUM(DL126:DN126),SUM(DO126:DQ126),SUM(DR126:DT126)),0)</f>
        <v/>
      </c>
      <c r="DI126" t="n">
        <v>19889</v>
      </c>
      <c r="DJ126" t="n">
        <v>12793</v>
      </c>
      <c r="DK126" t="n">
        <v>6790</v>
      </c>
      <c r="DL126" t="n">
        <v>11631</v>
      </c>
      <c r="DM126" t="n">
        <v>2130</v>
      </c>
      <c r="DN126" t="n">
        <v>9528</v>
      </c>
      <c r="DO126" t="n">
        <v>18162</v>
      </c>
      <c r="DP126" t="n">
        <v>10371</v>
      </c>
      <c r="DQ126" t="n">
        <v>15768</v>
      </c>
      <c r="DR126" t="n">
        <v>2391</v>
      </c>
      <c r="DS126" t="n">
        <v>2357</v>
      </c>
      <c r="DT126" t="n">
        <v>4986</v>
      </c>
      <c r="DV126" s="4" t="inlineStr">
        <is>
          <t>CRM</t>
        </is>
      </c>
      <c r="DW126">
        <f>IFERROR(CHOOSE(MATCH($DV$6,{"Ano Completo","1º Semestre","2º Semestre","1º Trimestre","2º Trimestre","3º Trimestre","4º Trimestre"},0),SUM(DX126:EI126),SUM(DX126:EC126),SUM(ED126:EI126),SUM(DX126:DZ126),SUM(EA126:EC126),SUM(ED126:EF126),SUM(EG126:EI126)),0)</f>
        <v/>
      </c>
      <c r="DX126" t="n">
        <v>5714</v>
      </c>
      <c r="DY126" t="n">
        <v>12401</v>
      </c>
      <c r="DZ126" t="n">
        <v>15455</v>
      </c>
      <c r="EA126" t="n">
        <v>5541</v>
      </c>
      <c r="EB126" t="n">
        <v>12982</v>
      </c>
      <c r="EC126" t="n">
        <v>6833</v>
      </c>
      <c r="ED126" t="n">
        <v>10957</v>
      </c>
      <c r="EE126" t="n">
        <v>12448</v>
      </c>
      <c r="EF126" t="n">
        <v>17213</v>
      </c>
      <c r="EG126" t="n">
        <v>5580</v>
      </c>
      <c r="EH126" t="n">
        <v>6139</v>
      </c>
      <c r="EI126" t="n">
        <v>17350</v>
      </c>
      <c r="EL126" s="4" t="inlineStr">
        <is>
          <t>CRM</t>
        </is>
      </c>
      <c r="EM126">
        <f>IFERROR(CHOOSE(MATCH($EL$6,{"Ano Completo","1º Semestre","2º Semestre","1º Trimestre","2º Trimestre","3º Trimestre","4º Trimestre"},0),SUM(EN126:EY126),SUM(EN126:ES126),SUM(ET126:EY126),SUM(EN126:EP126),SUM(EQ126:ES126),SUM(ET126:EV126),SUM(EW126:EY126)),0)</f>
        <v/>
      </c>
      <c r="EN126" t="n">
        <v>19889</v>
      </c>
      <c r="EO126" t="n">
        <v>12793</v>
      </c>
      <c r="EP126" t="n">
        <v>6790</v>
      </c>
      <c r="EQ126" t="n">
        <v>11631</v>
      </c>
      <c r="ER126" t="n">
        <v>2130</v>
      </c>
      <c r="ES126" t="n">
        <v>9528</v>
      </c>
      <c r="ET126" t="n">
        <v>18162</v>
      </c>
      <c r="EU126" t="n">
        <v>10371</v>
      </c>
      <c r="EV126" t="n">
        <v>15768</v>
      </c>
      <c r="EW126" t="n">
        <v>2391</v>
      </c>
      <c r="EX126" t="n">
        <v>2357</v>
      </c>
      <c r="EY126" t="n">
        <v>4986</v>
      </c>
    </row>
    <row r="127">
      <c r="B127" s="4" t="inlineStr">
        <is>
          <t>Licenças Whatsapp</t>
        </is>
      </c>
      <c r="C127">
        <f>IFERROR(CHOOSE(MATCH($B$6,{"Ano Completo","1º Semestre","2º Semestre","1º Trimestre","2º Trimestre","3º Trimestre","4º Trimestre"},0),SUM(D127:O127),SUM(D127:I127),SUM(J127:O127),SUM(D127:F127),SUM(G127:I127),SUM(J127:L127),SUM(M127:O127)),0)</f>
        <v/>
      </c>
      <c r="R127" s="4" t="inlineStr">
        <is>
          <t>Licenças Whatsapp</t>
        </is>
      </c>
      <c r="S127">
        <f>IFERROR(CHOOSE(MATCH($R$6,{"Ano Completo","1º Semestre","2º Semestre","1º Trimestre","2º Trimestre","3º Trimestre","4º Trimestre"},0),SUM(T127:AE127),SUM(T127:Y127),SUM(Z127:AE127),SUM(T127:V127),SUM(W127:Y127),SUM(Z127:AB127),SUM(AC127:AE127)),0)</f>
        <v/>
      </c>
      <c r="AG127" s="4" t="inlineStr">
        <is>
          <t>Licenças Whatsapp</t>
        </is>
      </c>
      <c r="AH127">
        <f>IFERROR(CHOOSE(MATCH($AG$6,{"Ano Completo","1º Semestre","2º Semestre","1º Trimestre","2º Trimestre","3º Trimestre","4º Trimestre"},0),SUM(AI127:AT127),SUM(AI127:AN127),SUM(AO127:AT127),SUM(AI127:AK127),SUM(AL127:AN127),SUM(AO127:AQ127),SUM(AR127:AT127)),0)</f>
        <v/>
      </c>
      <c r="AI127" t="n">
        <v>13444</v>
      </c>
      <c r="AJ127" t="n">
        <v>12939</v>
      </c>
      <c r="AK127" t="n">
        <v>5644</v>
      </c>
      <c r="AL127" t="n">
        <v>6764</v>
      </c>
      <c r="AM127" t="n">
        <v>4542</v>
      </c>
      <c r="AN127" t="n">
        <v>3226</v>
      </c>
      <c r="AO127" t="n">
        <v>14366</v>
      </c>
      <c r="AP127" t="n">
        <v>15688</v>
      </c>
      <c r="AQ127" t="n">
        <v>16643</v>
      </c>
      <c r="AR127" t="n">
        <v>5607</v>
      </c>
      <c r="AS127" t="n">
        <v>3673</v>
      </c>
      <c r="AT127" t="n">
        <v>19116</v>
      </c>
      <c r="AW127" s="4" t="inlineStr">
        <is>
          <t>Licenças Whatsapp</t>
        </is>
      </c>
      <c r="AX127">
        <f>IFERROR(CHOOSE(MATCH($AW$6,{"Ano Completo","1º Semestre","2º Semestre","1º Trimestre","2º Trimestre","3º Trimestre","4º Trimestre"},0),SUM(AY127:BJ127),SUM(AY127:BD127),SUM(BE127:BJ127),SUM(AY127:BA127),SUM(BB127:BD127),SUM(BE127:BG127),SUM(BH127:BJ127)),0)</f>
        <v/>
      </c>
      <c r="AY127" t="n">
        <v>1869</v>
      </c>
      <c r="AZ127" t="n">
        <v>18453</v>
      </c>
      <c r="BA127" t="n">
        <v>5377</v>
      </c>
      <c r="BB127" t="n">
        <v>1697</v>
      </c>
      <c r="BC127" t="n">
        <v>19616</v>
      </c>
      <c r="BD127" t="n">
        <v>11821</v>
      </c>
      <c r="BE127" t="n">
        <v>2643</v>
      </c>
      <c r="BF127" t="n">
        <v>3010</v>
      </c>
      <c r="BG127" t="n">
        <v>16308</v>
      </c>
      <c r="BH127" t="n">
        <v>10095</v>
      </c>
      <c r="BI127" t="n">
        <v>8298</v>
      </c>
      <c r="BJ127" t="n">
        <v>16840</v>
      </c>
      <c r="BL127" s="4" t="inlineStr">
        <is>
          <t>Licenças Whatsapp</t>
        </is>
      </c>
      <c r="BM127">
        <f>IFERROR(CHOOSE(MATCH($BL$6,{"Ano Completo","1º Semestre","2º Semestre","1º Trimestre","2º Trimestre","3º Trimestre","4º Trimestre"},0),SUM(BN127:BY127),SUM(BN127:BS127),SUM(BT127:BY127),SUM(BN127:BP127),SUM(BQ127:BS127),SUM(BT127:BV127),SUM(BW127:BY127)),0)</f>
        <v/>
      </c>
      <c r="BN127" t="n">
        <v>13444</v>
      </c>
      <c r="BO127" t="n">
        <v>12939</v>
      </c>
      <c r="BP127" t="n">
        <v>5644</v>
      </c>
      <c r="BQ127" t="n">
        <v>6764</v>
      </c>
      <c r="BR127" t="n">
        <v>4542</v>
      </c>
      <c r="BS127" t="n">
        <v>3226</v>
      </c>
      <c r="BT127" t="n">
        <v>14366</v>
      </c>
      <c r="BU127" t="n">
        <v>15688</v>
      </c>
      <c r="BV127" t="n">
        <v>16643</v>
      </c>
      <c r="BW127" t="n">
        <v>5607</v>
      </c>
      <c r="BX127" t="n">
        <v>3673</v>
      </c>
      <c r="BY127" t="n">
        <v>19116</v>
      </c>
      <c r="CB127" s="4" t="inlineStr">
        <is>
          <t>Licenças Whatsapp</t>
        </is>
      </c>
      <c r="CC127">
        <f>IFERROR(CHOOSE(MATCH($CB$6,{"Ano Completo","1º Semestre","2º Semestre","1º Trimestre","2º Trimestre","3º Trimestre","4º Trimestre"},0),SUM(CD127:CO127),SUM(CD127:CI127),SUM(CJ127:CO127),SUM(CD127:CF127),SUM(CG127:CI127),SUM(CJ127:CL127),SUM(CM127:CO127)),0)</f>
        <v/>
      </c>
      <c r="CD127" t="n">
        <v>1869</v>
      </c>
      <c r="CE127" t="n">
        <v>18453</v>
      </c>
      <c r="CF127" t="n">
        <v>5377</v>
      </c>
      <c r="CG127" t="n">
        <v>1697</v>
      </c>
      <c r="CH127" t="n">
        <v>19616</v>
      </c>
      <c r="CI127" t="n">
        <v>11821</v>
      </c>
      <c r="CJ127" t="n">
        <v>2643</v>
      </c>
      <c r="CK127" t="n">
        <v>3010</v>
      </c>
      <c r="CL127" t="n">
        <v>16308</v>
      </c>
      <c r="CM127" t="n">
        <v>10095</v>
      </c>
      <c r="CN127" t="n">
        <v>8298</v>
      </c>
      <c r="CO127" t="n">
        <v>16840</v>
      </c>
      <c r="CQ127" s="4" t="inlineStr">
        <is>
          <t>Licenças Whatsapp</t>
        </is>
      </c>
      <c r="CR127">
        <f>IFERROR(CHOOSE(MATCH($CQ$6,{"Ano Completo","1º Semestre","2º Semestre","1º Trimestre","2º Trimestre","3º Trimestre","4º Trimestre"},0),SUM(CS127:DD127),SUM(CS127:CX127),SUM(CY127:DD127),SUM(CS127:CU127),SUM(CV127:CX127),SUM(CY127:DA127),SUM(DB127:DD127)),0)</f>
        <v/>
      </c>
      <c r="CS127" t="n">
        <v>13444</v>
      </c>
      <c r="CT127" t="n">
        <v>12939</v>
      </c>
      <c r="CU127" t="n">
        <v>5644</v>
      </c>
      <c r="CV127" t="n">
        <v>6764</v>
      </c>
      <c r="CW127" t="n">
        <v>4542</v>
      </c>
      <c r="CX127" t="n">
        <v>3226</v>
      </c>
      <c r="CY127" t="n">
        <v>14366</v>
      </c>
      <c r="CZ127" t="n">
        <v>15688</v>
      </c>
      <c r="DA127" t="n">
        <v>16643</v>
      </c>
      <c r="DB127" t="n">
        <v>5607</v>
      </c>
      <c r="DC127" t="n">
        <v>3673</v>
      </c>
      <c r="DD127" t="n">
        <v>19116</v>
      </c>
      <c r="DG127" s="4" t="inlineStr">
        <is>
          <t>Licenças Whatsapp</t>
        </is>
      </c>
      <c r="DH127">
        <f>IFERROR(CHOOSE(MATCH($DG$6,{"Ano Completo","1º Semestre","2º Semestre","1º Trimestre","2º Trimestre","3º Trimestre","4º Trimestre"},0),SUM(DI127:DT127),SUM(DI127:DN127),SUM(DO127:DT127),SUM(DI127:DK127),SUM(DL127:DN127),SUM(DO127:DQ127),SUM(DR127:DT127)),0)</f>
        <v/>
      </c>
      <c r="DI127" t="n">
        <v>1869</v>
      </c>
      <c r="DJ127" t="n">
        <v>18453</v>
      </c>
      <c r="DK127" t="n">
        <v>5377</v>
      </c>
      <c r="DL127" t="n">
        <v>1697</v>
      </c>
      <c r="DM127" t="n">
        <v>19616</v>
      </c>
      <c r="DN127" t="n">
        <v>11821</v>
      </c>
      <c r="DO127" t="n">
        <v>2643</v>
      </c>
      <c r="DP127" t="n">
        <v>3010</v>
      </c>
      <c r="DQ127" t="n">
        <v>16308</v>
      </c>
      <c r="DR127" t="n">
        <v>10095</v>
      </c>
      <c r="DS127" t="n">
        <v>8298</v>
      </c>
      <c r="DT127" t="n">
        <v>16840</v>
      </c>
      <c r="DV127" s="4" t="inlineStr">
        <is>
          <t>Licenças Whatsapp</t>
        </is>
      </c>
      <c r="DW127">
        <f>IFERROR(CHOOSE(MATCH($DV$6,{"Ano Completo","1º Semestre","2º Semestre","1º Trimestre","2º Trimestre","3º Trimestre","4º Trimestre"},0),SUM(DX127:EI127),SUM(DX127:EC127),SUM(ED127:EI127),SUM(DX127:DZ127),SUM(EA127:EC127),SUM(ED127:EF127),SUM(EG127:EI127)),0)</f>
        <v/>
      </c>
      <c r="DX127" t="n">
        <v>13444</v>
      </c>
      <c r="DY127" t="n">
        <v>12939</v>
      </c>
      <c r="DZ127" t="n">
        <v>5644</v>
      </c>
      <c r="EA127" t="n">
        <v>6764</v>
      </c>
      <c r="EB127" t="n">
        <v>4542</v>
      </c>
      <c r="EC127" t="n">
        <v>3226</v>
      </c>
      <c r="ED127" t="n">
        <v>14366</v>
      </c>
      <c r="EE127" t="n">
        <v>15688</v>
      </c>
      <c r="EF127" t="n">
        <v>16643</v>
      </c>
      <c r="EG127" t="n">
        <v>5607</v>
      </c>
      <c r="EH127" t="n">
        <v>3673</v>
      </c>
      <c r="EI127" t="n">
        <v>19116</v>
      </c>
      <c r="EL127" s="4" t="inlineStr">
        <is>
          <t>Licenças Whatsapp</t>
        </is>
      </c>
      <c r="EM127">
        <f>IFERROR(CHOOSE(MATCH($EL$6,{"Ano Completo","1º Semestre","2º Semestre","1º Trimestre","2º Trimestre","3º Trimestre","4º Trimestre"},0),SUM(EN127:EY127),SUM(EN127:ES127),SUM(ET127:EY127),SUM(EN127:EP127),SUM(EQ127:ES127),SUM(ET127:EV127),SUM(EW127:EY127)),0)</f>
        <v/>
      </c>
      <c r="EN127" t="n">
        <v>1869</v>
      </c>
      <c r="EO127" t="n">
        <v>18453</v>
      </c>
      <c r="EP127" t="n">
        <v>5377</v>
      </c>
      <c r="EQ127" t="n">
        <v>1697</v>
      </c>
      <c r="ER127" t="n">
        <v>19616</v>
      </c>
      <c r="ES127" t="n">
        <v>11821</v>
      </c>
      <c r="ET127" t="n">
        <v>2643</v>
      </c>
      <c r="EU127" t="n">
        <v>3010</v>
      </c>
      <c r="EV127" t="n">
        <v>16308</v>
      </c>
      <c r="EW127" t="n">
        <v>10095</v>
      </c>
      <c r="EX127" t="n">
        <v>8298</v>
      </c>
      <c r="EY127" t="n">
        <v>16840</v>
      </c>
    </row>
    <row r="128">
      <c r="B128" s="4" t="inlineStr">
        <is>
          <t>Segurança da Informação</t>
        </is>
      </c>
      <c r="C128">
        <f>IFERROR(CHOOSE(MATCH($B$6,{"Ano Completo","1º Semestre","2º Semestre","1º Trimestre","2º Trimestre","3º Trimestre","4º Trimestre"},0),SUM(D128:O128),SUM(D128:I128),SUM(J128:O128),SUM(D128:F128),SUM(G128:I128),SUM(J128:L128),SUM(M128:O128)),0)</f>
        <v/>
      </c>
      <c r="R128" s="4" t="inlineStr">
        <is>
          <t>Segurança da Informação</t>
        </is>
      </c>
      <c r="S128">
        <f>IFERROR(CHOOSE(MATCH($R$6,{"Ano Completo","1º Semestre","2º Semestre","1º Trimestre","2º Trimestre","3º Trimestre","4º Trimestre"},0),SUM(T128:AE128),SUM(T128:Y128),SUM(Z128:AE128),SUM(T128:V128),SUM(W128:Y128),SUM(Z128:AB128),SUM(AC128:AE128)),0)</f>
        <v/>
      </c>
      <c r="AG128" s="4" t="inlineStr">
        <is>
          <t>Segurança da Informação</t>
        </is>
      </c>
      <c r="AH128">
        <f>IFERROR(CHOOSE(MATCH($AG$6,{"Ano Completo","1º Semestre","2º Semestre","1º Trimestre","2º Trimestre","3º Trimestre","4º Trimestre"},0),SUM(AI128:AT128),SUM(AI128:AN128),SUM(AO128:AT128),SUM(AI128:AK128),SUM(AL128:AN128),SUM(AO128:AQ128),SUM(AR128:AT128)),0)</f>
        <v/>
      </c>
      <c r="AI128" t="n">
        <v>11972</v>
      </c>
      <c r="AJ128" t="n">
        <v>11334</v>
      </c>
      <c r="AK128" t="n">
        <v>4423</v>
      </c>
      <c r="AL128" t="n">
        <v>12480</v>
      </c>
      <c r="AM128" t="n">
        <v>17613</v>
      </c>
      <c r="AN128" t="n">
        <v>18784</v>
      </c>
      <c r="AO128" t="n">
        <v>5748</v>
      </c>
      <c r="AP128" t="n">
        <v>4287</v>
      </c>
      <c r="AQ128" t="n">
        <v>7148</v>
      </c>
      <c r="AR128" t="n">
        <v>12654</v>
      </c>
      <c r="AS128" t="n">
        <v>15535</v>
      </c>
      <c r="AT128" t="n">
        <v>10574</v>
      </c>
      <c r="AW128" s="4" t="inlineStr">
        <is>
          <t>Segurança da Informação</t>
        </is>
      </c>
      <c r="AX128">
        <f>IFERROR(CHOOSE(MATCH($AW$6,{"Ano Completo","1º Semestre","2º Semestre","1º Trimestre","2º Trimestre","3º Trimestre","4º Trimestre"},0),SUM(AY128:BJ128),SUM(AY128:BD128),SUM(BE128:BJ128),SUM(AY128:BA128),SUM(BB128:BD128),SUM(BE128:BG128),SUM(BH128:BJ128)),0)</f>
        <v/>
      </c>
      <c r="AY128" t="n">
        <v>4790</v>
      </c>
      <c r="AZ128" t="n">
        <v>4860</v>
      </c>
      <c r="BA128" t="n">
        <v>4147</v>
      </c>
      <c r="BB128" t="n">
        <v>4271</v>
      </c>
      <c r="BC128" t="n">
        <v>10555</v>
      </c>
      <c r="BD128" t="n">
        <v>6671</v>
      </c>
      <c r="BE128" t="n">
        <v>4920</v>
      </c>
      <c r="BF128" t="n">
        <v>5411</v>
      </c>
      <c r="BG128" t="n">
        <v>16182</v>
      </c>
      <c r="BH128" t="n">
        <v>10757</v>
      </c>
      <c r="BI128" t="n">
        <v>19761</v>
      </c>
      <c r="BJ128" t="n">
        <v>12640</v>
      </c>
      <c r="BL128" s="4" t="inlineStr">
        <is>
          <t>Segurança da Informação</t>
        </is>
      </c>
      <c r="BM128">
        <f>IFERROR(CHOOSE(MATCH($BL$6,{"Ano Completo","1º Semestre","2º Semestre","1º Trimestre","2º Trimestre","3º Trimestre","4º Trimestre"},0),SUM(BN128:BY128),SUM(BN128:BS128),SUM(BT128:BY128),SUM(BN128:BP128),SUM(BQ128:BS128),SUM(BT128:BV128),SUM(BW128:BY128)),0)</f>
        <v/>
      </c>
      <c r="BN128" t="n">
        <v>11972</v>
      </c>
      <c r="BO128" t="n">
        <v>11334</v>
      </c>
      <c r="BP128" t="n">
        <v>4423</v>
      </c>
      <c r="BQ128" t="n">
        <v>12480</v>
      </c>
      <c r="BR128" t="n">
        <v>17613</v>
      </c>
      <c r="BS128" t="n">
        <v>18784</v>
      </c>
      <c r="BT128" t="n">
        <v>5748</v>
      </c>
      <c r="BU128" t="n">
        <v>4287</v>
      </c>
      <c r="BV128" t="n">
        <v>7148</v>
      </c>
      <c r="BW128" t="n">
        <v>12654</v>
      </c>
      <c r="BX128" t="n">
        <v>15535</v>
      </c>
      <c r="BY128" t="n">
        <v>10574</v>
      </c>
      <c r="CB128" s="4" t="inlineStr">
        <is>
          <t>Segurança da Informação</t>
        </is>
      </c>
      <c r="CC128">
        <f>IFERROR(CHOOSE(MATCH($CB$6,{"Ano Completo","1º Semestre","2º Semestre","1º Trimestre","2º Trimestre","3º Trimestre","4º Trimestre"},0),SUM(CD128:CO128),SUM(CD128:CI128),SUM(CJ128:CO128),SUM(CD128:CF128),SUM(CG128:CI128),SUM(CJ128:CL128),SUM(CM128:CO128)),0)</f>
        <v/>
      </c>
      <c r="CD128" t="n">
        <v>4790</v>
      </c>
      <c r="CE128" t="n">
        <v>4860</v>
      </c>
      <c r="CF128" t="n">
        <v>4147</v>
      </c>
      <c r="CG128" t="n">
        <v>4271</v>
      </c>
      <c r="CH128" t="n">
        <v>10555</v>
      </c>
      <c r="CI128" t="n">
        <v>6671</v>
      </c>
      <c r="CJ128" t="n">
        <v>4920</v>
      </c>
      <c r="CK128" t="n">
        <v>5411</v>
      </c>
      <c r="CL128" t="n">
        <v>16182</v>
      </c>
      <c r="CM128" t="n">
        <v>10757</v>
      </c>
      <c r="CN128" t="n">
        <v>19761</v>
      </c>
      <c r="CO128" t="n">
        <v>12640</v>
      </c>
      <c r="CQ128" s="4" t="inlineStr">
        <is>
          <t>Segurança da Informação</t>
        </is>
      </c>
      <c r="CR128">
        <f>IFERROR(CHOOSE(MATCH($CQ$6,{"Ano Completo","1º Semestre","2º Semestre","1º Trimestre","2º Trimestre","3º Trimestre","4º Trimestre"},0),SUM(CS128:DD128),SUM(CS128:CX128),SUM(CY128:DD128),SUM(CS128:CU128),SUM(CV128:CX128),SUM(CY128:DA128),SUM(DB128:DD128)),0)</f>
        <v/>
      </c>
      <c r="CS128" t="n">
        <v>11972</v>
      </c>
      <c r="CT128" t="n">
        <v>11334</v>
      </c>
      <c r="CU128" t="n">
        <v>4423</v>
      </c>
      <c r="CV128" t="n">
        <v>12480</v>
      </c>
      <c r="CW128" t="n">
        <v>17613</v>
      </c>
      <c r="CX128" t="n">
        <v>18784</v>
      </c>
      <c r="CY128" t="n">
        <v>5748</v>
      </c>
      <c r="CZ128" t="n">
        <v>4287</v>
      </c>
      <c r="DA128" t="n">
        <v>7148</v>
      </c>
      <c r="DB128" t="n">
        <v>12654</v>
      </c>
      <c r="DC128" t="n">
        <v>15535</v>
      </c>
      <c r="DD128" t="n">
        <v>10574</v>
      </c>
      <c r="DG128" s="4" t="inlineStr">
        <is>
          <t>Segurança da Informação</t>
        </is>
      </c>
      <c r="DH128">
        <f>IFERROR(CHOOSE(MATCH($DG$6,{"Ano Completo","1º Semestre","2º Semestre","1º Trimestre","2º Trimestre","3º Trimestre","4º Trimestre"},0),SUM(DI128:DT128),SUM(DI128:DN128),SUM(DO128:DT128),SUM(DI128:DK128),SUM(DL128:DN128),SUM(DO128:DQ128),SUM(DR128:DT128)),0)</f>
        <v/>
      </c>
      <c r="DI128" t="n">
        <v>4790</v>
      </c>
      <c r="DJ128" t="n">
        <v>4860</v>
      </c>
      <c r="DK128" t="n">
        <v>4147</v>
      </c>
      <c r="DL128" t="n">
        <v>4271</v>
      </c>
      <c r="DM128" t="n">
        <v>10555</v>
      </c>
      <c r="DN128" t="n">
        <v>6671</v>
      </c>
      <c r="DO128" t="n">
        <v>4920</v>
      </c>
      <c r="DP128" t="n">
        <v>5411</v>
      </c>
      <c r="DQ128" t="n">
        <v>16182</v>
      </c>
      <c r="DR128" t="n">
        <v>10757</v>
      </c>
      <c r="DS128" t="n">
        <v>19761</v>
      </c>
      <c r="DT128" t="n">
        <v>12640</v>
      </c>
      <c r="DV128" s="4" t="inlineStr">
        <is>
          <t>Segurança da Informação</t>
        </is>
      </c>
      <c r="DW128">
        <f>IFERROR(CHOOSE(MATCH($DV$6,{"Ano Completo","1º Semestre","2º Semestre","1º Trimestre","2º Trimestre","3º Trimestre","4º Trimestre"},0),SUM(DX128:EI128),SUM(DX128:EC128),SUM(ED128:EI128),SUM(DX128:DZ128),SUM(EA128:EC128),SUM(ED128:EF128),SUM(EG128:EI128)),0)</f>
        <v/>
      </c>
      <c r="DX128" t="n">
        <v>11972</v>
      </c>
      <c r="DY128" t="n">
        <v>11334</v>
      </c>
      <c r="DZ128" t="n">
        <v>4423</v>
      </c>
      <c r="EA128" t="n">
        <v>12480</v>
      </c>
      <c r="EB128" t="n">
        <v>17613</v>
      </c>
      <c r="EC128" t="n">
        <v>18784</v>
      </c>
      <c r="ED128" t="n">
        <v>5748</v>
      </c>
      <c r="EE128" t="n">
        <v>4287</v>
      </c>
      <c r="EF128" t="n">
        <v>7148</v>
      </c>
      <c r="EG128" t="n">
        <v>12654</v>
      </c>
      <c r="EH128" t="n">
        <v>15535</v>
      </c>
      <c r="EI128" t="n">
        <v>10574</v>
      </c>
      <c r="EL128" s="4" t="inlineStr">
        <is>
          <t>Segurança da Informação</t>
        </is>
      </c>
      <c r="EM128">
        <f>IFERROR(CHOOSE(MATCH($EL$6,{"Ano Completo","1º Semestre","2º Semestre","1º Trimestre","2º Trimestre","3º Trimestre","4º Trimestre"},0),SUM(EN128:EY128),SUM(EN128:ES128),SUM(ET128:EY128),SUM(EN128:EP128),SUM(EQ128:ES128),SUM(ET128:EV128),SUM(EW128:EY128)),0)</f>
        <v/>
      </c>
      <c r="EN128" t="n">
        <v>4790</v>
      </c>
      <c r="EO128" t="n">
        <v>4860</v>
      </c>
      <c r="EP128" t="n">
        <v>4147</v>
      </c>
      <c r="EQ128" t="n">
        <v>4271</v>
      </c>
      <c r="ER128" t="n">
        <v>10555</v>
      </c>
      <c r="ES128" t="n">
        <v>6671</v>
      </c>
      <c r="ET128" t="n">
        <v>4920</v>
      </c>
      <c r="EU128" t="n">
        <v>5411</v>
      </c>
      <c r="EV128" t="n">
        <v>16182</v>
      </c>
      <c r="EW128" t="n">
        <v>10757</v>
      </c>
      <c r="EX128" t="n">
        <v>19761</v>
      </c>
      <c r="EY128" t="n">
        <v>12640</v>
      </c>
    </row>
    <row r="129">
      <c r="B129" s="4" t="inlineStr">
        <is>
          <t>Ações Whatsapp</t>
        </is>
      </c>
      <c r="C129">
        <f>IFERROR(CHOOSE(MATCH($B$6,{"Ano Completo","1º Semestre","2º Semestre","1º Trimestre","2º Trimestre","3º Trimestre","4º Trimestre"},0),SUM(D129:O129),SUM(D129:I129),SUM(J129:O129),SUM(D129:F129),SUM(G129:I129),SUM(J129:L129),SUM(M129:O129)),0)</f>
        <v/>
      </c>
      <c r="R129" s="4" t="inlineStr">
        <is>
          <t>Ações Whatsapp</t>
        </is>
      </c>
      <c r="S129">
        <f>IFERROR(CHOOSE(MATCH($R$6,{"Ano Completo","1º Semestre","2º Semestre","1º Trimestre","2º Trimestre","3º Trimestre","4º Trimestre"},0),SUM(T129:AE129),SUM(T129:Y129),SUM(Z129:AE129),SUM(T129:V129),SUM(W129:Y129),SUM(Z129:AB129),SUM(AC129:AE129)),0)</f>
        <v/>
      </c>
      <c r="AG129" s="4" t="inlineStr">
        <is>
          <t>Ações Whatsapp</t>
        </is>
      </c>
      <c r="AH129">
        <f>IFERROR(CHOOSE(MATCH($AG$6,{"Ano Completo","1º Semestre","2º Semestre","1º Trimestre","2º Trimestre","3º Trimestre","4º Trimestre"},0),SUM(AI129:AT129),SUM(AI129:AN129),SUM(AO129:AT129),SUM(AI129:AK129),SUM(AL129:AN129),SUM(AO129:AQ129),SUM(AR129:AT129)),0)</f>
        <v/>
      </c>
      <c r="AW129" s="4" t="inlineStr">
        <is>
          <t>Ações Whatsapp</t>
        </is>
      </c>
      <c r="AX129">
        <f>IFERROR(CHOOSE(MATCH($AW$6,{"Ano Completo","1º Semestre","2º Semestre","1º Trimestre","2º Trimestre","3º Trimestre","4º Trimestre"},0),SUM(AY129:BJ129),SUM(AY129:BD129),SUM(BE129:BJ129),SUM(AY129:BA129),SUM(BB129:BD129),SUM(BE129:BG129),SUM(BH129:BJ129)),0)</f>
        <v/>
      </c>
      <c r="BL129" s="4" t="inlineStr">
        <is>
          <t>Ações Whatsapp</t>
        </is>
      </c>
      <c r="BM129">
        <f>IFERROR(CHOOSE(MATCH($BL$6,{"Ano Completo","1º Semestre","2º Semestre","1º Trimestre","2º Trimestre","3º Trimestre","4º Trimestre"},0),SUM(BN129:BY129),SUM(BN129:BS129),SUM(BT129:BY129),SUM(BN129:BP129),SUM(BQ129:BS129),SUM(BT129:BV129),SUM(BW129:BY129)),0)</f>
        <v/>
      </c>
      <c r="CB129" s="4" t="inlineStr">
        <is>
          <t>Ações Whatsapp</t>
        </is>
      </c>
      <c r="CC129">
        <f>IFERROR(CHOOSE(MATCH($CB$6,{"Ano Completo","1º Semestre","2º Semestre","1º Trimestre","2º Trimestre","3º Trimestre","4º Trimestre"},0),SUM(CD129:CO129),SUM(CD129:CI129),SUM(CJ129:CO129),SUM(CD129:CF129),SUM(CG129:CI129),SUM(CJ129:CL129),SUM(CM129:CO129)),0)</f>
        <v/>
      </c>
      <c r="CQ129" s="4" t="inlineStr">
        <is>
          <t>Ações Whatsapp</t>
        </is>
      </c>
      <c r="CR129">
        <f>IFERROR(CHOOSE(MATCH($CQ$6,{"Ano Completo","1º Semestre","2º Semestre","1º Trimestre","2º Trimestre","3º Trimestre","4º Trimestre"},0),SUM(CS129:DD129),SUM(CS129:CX129),SUM(CY129:DD129),SUM(CS129:CU129),SUM(CV129:CX129),SUM(CY129:DA129),SUM(DB129:DD129)),0)</f>
        <v/>
      </c>
      <c r="DG129" s="4" t="inlineStr">
        <is>
          <t>Ações Whatsapp</t>
        </is>
      </c>
      <c r="DH129">
        <f>IFERROR(CHOOSE(MATCH($DG$6,{"Ano Completo","1º Semestre","2º Semestre","1º Trimestre","2º Trimestre","3º Trimestre","4º Trimestre"},0),SUM(DI129:DT129),SUM(DI129:DN129),SUM(DO129:DT129),SUM(DI129:DK129),SUM(DL129:DN129),SUM(DO129:DQ129),SUM(DR129:DT129)),0)</f>
        <v/>
      </c>
      <c r="DV129" s="4" t="inlineStr">
        <is>
          <t>Ações Whatsapp</t>
        </is>
      </c>
      <c r="DW129">
        <f>IFERROR(CHOOSE(MATCH($DV$6,{"Ano Completo","1º Semestre","2º Semestre","1º Trimestre","2º Trimestre","3º Trimestre","4º Trimestre"},0),SUM(DX129:EI129),SUM(DX129:EC129),SUM(ED129:EI129),SUM(DX129:DZ129),SUM(EA129:EC129),SUM(ED129:EF129),SUM(EG129:EI129)),0)</f>
        <v/>
      </c>
      <c r="EL129" s="4" t="inlineStr">
        <is>
          <t>Ações Whatsapp</t>
        </is>
      </c>
      <c r="EM129">
        <f>IFERROR(CHOOSE(MATCH($EL$6,{"Ano Completo","1º Semestre","2º Semestre","1º Trimestre","2º Trimestre","3º Trimestre","4º Trimestre"},0),SUM(EN129:EY129),SUM(EN129:ES129),SUM(ET129:EY129),SUM(EN129:EP129),SUM(EQ129:ES129),SUM(ET129:EV129),SUM(EW129:EY129)),0)</f>
        <v/>
      </c>
    </row>
    <row r="130">
      <c r="B130" s="4" t="inlineStr">
        <is>
          <t>Cloud</t>
        </is>
      </c>
      <c r="C130">
        <f>IFERROR(CHOOSE(MATCH($B$6,{"Ano Completo","1º Semestre","2º Semestre","1º Trimestre","2º Trimestre","3º Trimestre","4º Trimestre"},0),SUM(D130:O130),SUM(D130:I130),SUM(J130:O130),SUM(D130:F130),SUM(G130:I130),SUM(J130:L130),SUM(M130:O130)),0)</f>
        <v/>
      </c>
      <c r="R130" s="4" t="inlineStr">
        <is>
          <t>Cloud</t>
        </is>
      </c>
      <c r="S130">
        <f>IFERROR(CHOOSE(MATCH($R$6,{"Ano Completo","1º Semestre","2º Semestre","1º Trimestre","2º Trimestre","3º Trimestre","4º Trimestre"},0),SUM(T130:AE130),SUM(T130:Y130),SUM(Z130:AE130),SUM(T130:V130),SUM(W130:Y130),SUM(Z130:AB130),SUM(AC130:AE130)),0)</f>
        <v/>
      </c>
      <c r="AG130" s="4" t="inlineStr">
        <is>
          <t>Cloud</t>
        </is>
      </c>
      <c r="AH130">
        <f>IFERROR(CHOOSE(MATCH($AG$6,{"Ano Completo","1º Semestre","2º Semestre","1º Trimestre","2º Trimestre","3º Trimestre","4º Trimestre"},0),SUM(AI130:AT130),SUM(AI130:AN130),SUM(AO130:AT130),SUM(AI130:AK130),SUM(AL130:AN130),SUM(AO130:AQ130),SUM(AR130:AT130)),0)</f>
        <v/>
      </c>
      <c r="AW130" s="4" t="inlineStr">
        <is>
          <t>Cloud</t>
        </is>
      </c>
      <c r="AX130">
        <f>IFERROR(CHOOSE(MATCH($AW$6,{"Ano Completo","1º Semestre","2º Semestre","1º Trimestre","2º Trimestre","3º Trimestre","4º Trimestre"},0),SUM(AY130:BJ130),SUM(AY130:BD130),SUM(BE130:BJ130),SUM(AY130:BA130),SUM(BB130:BD130),SUM(BE130:BG130),SUM(BH130:BJ130)),0)</f>
        <v/>
      </c>
      <c r="BL130" s="4" t="inlineStr">
        <is>
          <t>Cloud</t>
        </is>
      </c>
      <c r="BM130">
        <f>IFERROR(CHOOSE(MATCH($BL$6,{"Ano Completo","1º Semestre","2º Semestre","1º Trimestre","2º Trimestre","3º Trimestre","4º Trimestre"},0),SUM(BN130:BY130),SUM(BN130:BS130),SUM(BT130:BY130),SUM(BN130:BP130),SUM(BQ130:BS130),SUM(BT130:BV130),SUM(BW130:BY130)),0)</f>
        <v/>
      </c>
      <c r="CB130" s="4" t="inlineStr">
        <is>
          <t>Cloud</t>
        </is>
      </c>
      <c r="CC130">
        <f>IFERROR(CHOOSE(MATCH($CB$6,{"Ano Completo","1º Semestre","2º Semestre","1º Trimestre","2º Trimestre","3º Trimestre","4º Trimestre"},0),SUM(CD130:CO130),SUM(CD130:CI130),SUM(CJ130:CO130),SUM(CD130:CF130),SUM(CG130:CI130),SUM(CJ130:CL130),SUM(CM130:CO130)),0)</f>
        <v/>
      </c>
      <c r="CQ130" s="4" t="inlineStr">
        <is>
          <t>Cloud</t>
        </is>
      </c>
      <c r="CR130">
        <f>IFERROR(CHOOSE(MATCH($CQ$6,{"Ano Completo","1º Semestre","2º Semestre","1º Trimestre","2º Trimestre","3º Trimestre","4º Trimestre"},0),SUM(CS130:DD130),SUM(CS130:CX130),SUM(CY130:DD130),SUM(CS130:CU130),SUM(CV130:CX130),SUM(CY130:DA130),SUM(DB130:DD130)),0)</f>
        <v/>
      </c>
      <c r="DG130" s="4" t="inlineStr">
        <is>
          <t>Cloud</t>
        </is>
      </c>
      <c r="DH130">
        <f>IFERROR(CHOOSE(MATCH($DG$6,{"Ano Completo","1º Semestre","2º Semestre","1º Trimestre","2º Trimestre","3º Trimestre","4º Trimestre"},0),SUM(DI130:DT130),SUM(DI130:DN130),SUM(DO130:DT130),SUM(DI130:DK130),SUM(DL130:DN130),SUM(DO130:DQ130),SUM(DR130:DT130)),0)</f>
        <v/>
      </c>
      <c r="DV130" s="4" t="inlineStr">
        <is>
          <t>Cloud</t>
        </is>
      </c>
      <c r="DW130">
        <f>IFERROR(CHOOSE(MATCH($DV$6,{"Ano Completo","1º Semestre","2º Semestre","1º Trimestre","2º Trimestre","3º Trimestre","4º Trimestre"},0),SUM(DX130:EI130),SUM(DX130:EC130),SUM(ED130:EI130),SUM(DX130:DZ130),SUM(EA130:EC130),SUM(ED130:EF130),SUM(EG130:EI130)),0)</f>
        <v/>
      </c>
      <c r="EL130" s="4" t="inlineStr">
        <is>
          <t>Cloud</t>
        </is>
      </c>
      <c r="EM130">
        <f>IFERROR(CHOOSE(MATCH($EL$6,{"Ano Completo","1º Semestre","2º Semestre","1º Trimestre","2º Trimestre","3º Trimestre","4º Trimestre"},0),SUM(EN130:EY130),SUM(EN130:ES130),SUM(ET130:EY130),SUM(EN130:EP130),SUM(EQ130:ES130),SUM(ET130:EV130),SUM(EW130:EY130)),0)</f>
        <v/>
      </c>
    </row>
    <row r="131">
      <c r="B131" s="4" t="inlineStr">
        <is>
          <t>Speech Analytics</t>
        </is>
      </c>
      <c r="C131">
        <f>IFERROR(CHOOSE(MATCH($B$6,{"Ano Completo","1º Semestre","2º Semestre","1º Trimestre","2º Trimestre","3º Trimestre","4º Trimestre"},0),SUM(D131:O131),SUM(D131:I131),SUM(J131:O131),SUM(D131:F131),SUM(G131:I131),SUM(J131:L131),SUM(M131:O131)),0)</f>
        <v/>
      </c>
      <c r="R131" s="4" t="inlineStr">
        <is>
          <t>Speech Analytics</t>
        </is>
      </c>
      <c r="S131">
        <f>IFERROR(CHOOSE(MATCH($R$6,{"Ano Completo","1º Semestre","2º Semestre","1º Trimestre","2º Trimestre","3º Trimestre","4º Trimestre"},0),SUM(T131:AE131),SUM(T131:Y131),SUM(Z131:AE131),SUM(T131:V131),SUM(W131:Y131),SUM(Z131:AB131),SUM(AC131:AE131)),0)</f>
        <v/>
      </c>
      <c r="AG131" s="4" t="inlineStr">
        <is>
          <t>Speech Analytics</t>
        </is>
      </c>
      <c r="AH131">
        <f>IFERROR(CHOOSE(MATCH($AG$6,{"Ano Completo","1º Semestre","2º Semestre","1º Trimestre","2º Trimestre","3º Trimestre","4º Trimestre"},0),SUM(AI131:AT131),SUM(AI131:AN131),SUM(AO131:AT131),SUM(AI131:AK131),SUM(AL131:AN131),SUM(AO131:AQ131),SUM(AR131:AT131)),0)</f>
        <v/>
      </c>
      <c r="AW131" s="4" t="inlineStr">
        <is>
          <t>Speech Analytics</t>
        </is>
      </c>
      <c r="AX131">
        <f>IFERROR(CHOOSE(MATCH($AW$6,{"Ano Completo","1º Semestre","2º Semestre","1º Trimestre","2º Trimestre","3º Trimestre","4º Trimestre"},0),SUM(AY131:BJ131),SUM(AY131:BD131),SUM(BE131:BJ131),SUM(AY131:BA131),SUM(BB131:BD131),SUM(BE131:BG131),SUM(BH131:BJ131)),0)</f>
        <v/>
      </c>
      <c r="BL131" s="4" t="inlineStr">
        <is>
          <t>Speech Analytics</t>
        </is>
      </c>
      <c r="BM131">
        <f>IFERROR(CHOOSE(MATCH($BL$6,{"Ano Completo","1º Semestre","2º Semestre","1º Trimestre","2º Trimestre","3º Trimestre","4º Trimestre"},0),SUM(BN131:BY131),SUM(BN131:BS131),SUM(BT131:BY131),SUM(BN131:BP131),SUM(BQ131:BS131),SUM(BT131:BV131),SUM(BW131:BY131)),0)</f>
        <v/>
      </c>
      <c r="CB131" s="4" t="inlineStr">
        <is>
          <t>Speech Analytics</t>
        </is>
      </c>
      <c r="CC131">
        <f>IFERROR(CHOOSE(MATCH($CB$6,{"Ano Completo","1º Semestre","2º Semestre","1º Trimestre","2º Trimestre","3º Trimestre","4º Trimestre"},0),SUM(CD131:CO131),SUM(CD131:CI131),SUM(CJ131:CO131),SUM(CD131:CF131),SUM(CG131:CI131),SUM(CJ131:CL131),SUM(CM131:CO131)),0)</f>
        <v/>
      </c>
      <c r="CQ131" s="4" t="inlineStr">
        <is>
          <t>Speech Analytics</t>
        </is>
      </c>
      <c r="CR131">
        <f>IFERROR(CHOOSE(MATCH($CQ$6,{"Ano Completo","1º Semestre","2º Semestre","1º Trimestre","2º Trimestre","3º Trimestre","4º Trimestre"},0),SUM(CS131:DD131),SUM(CS131:CX131),SUM(CY131:DD131),SUM(CS131:CU131),SUM(CV131:CX131),SUM(CY131:DA131),SUM(DB131:DD131)),0)</f>
        <v/>
      </c>
      <c r="DG131" s="4" t="inlineStr">
        <is>
          <t>Speech Analytics</t>
        </is>
      </c>
      <c r="DH131">
        <f>IFERROR(CHOOSE(MATCH($DG$6,{"Ano Completo","1º Semestre","2º Semestre","1º Trimestre","2º Trimestre","3º Trimestre","4º Trimestre"},0),SUM(DI131:DT131),SUM(DI131:DN131),SUM(DO131:DT131),SUM(DI131:DK131),SUM(DL131:DN131),SUM(DO131:DQ131),SUM(DR131:DT131)),0)</f>
        <v/>
      </c>
      <c r="DV131" s="4" t="inlineStr">
        <is>
          <t>Speech Analytics</t>
        </is>
      </c>
      <c r="DW131">
        <f>IFERROR(CHOOSE(MATCH($DV$6,{"Ano Completo","1º Semestre","2º Semestre","1º Trimestre","2º Trimestre","3º Trimestre","4º Trimestre"},0),SUM(DX131:EI131),SUM(DX131:EC131),SUM(ED131:EI131),SUM(DX131:DZ131),SUM(EA131:EC131),SUM(ED131:EF131),SUM(EG131:EI131)),0)</f>
        <v/>
      </c>
      <c r="EL131" s="4" t="inlineStr">
        <is>
          <t>Speech Analytics</t>
        </is>
      </c>
      <c r="EM131">
        <f>IFERROR(CHOOSE(MATCH($EL$6,{"Ano Completo","1º Semestre","2º Semestre","1º Trimestre","2º Trimestre","3º Trimestre","4º Trimestre"},0),SUM(EN131:EY131),SUM(EN131:ES131),SUM(ET131:EY131),SUM(EN131:EP131),SUM(EQ131:ES131),SUM(ET131:EV131),SUM(EW131:EY131)),0)</f>
        <v/>
      </c>
    </row>
    <row r="132">
      <c r="B132" s="4" t="inlineStr">
        <is>
          <t>Whats</t>
        </is>
      </c>
      <c r="C132">
        <f>IFERROR(CHOOSE(MATCH($B$6,{"Ano Completo","1º Semestre","2º Semestre","1º Trimestre","2º Trimestre","3º Trimestre","4º Trimestre"},0),SUM(D132:O132),SUM(D132:I132),SUM(J132:O132),SUM(D132:F132),SUM(G132:I132),SUM(J132:L132),SUM(M132:O132)),0)</f>
        <v/>
      </c>
      <c r="R132" s="4" t="inlineStr">
        <is>
          <t>Whats</t>
        </is>
      </c>
      <c r="S132">
        <f>IFERROR(CHOOSE(MATCH($R$6,{"Ano Completo","1º Semestre","2º Semestre","1º Trimestre","2º Trimestre","3º Trimestre","4º Trimestre"},0),SUM(T132:AE132),SUM(T132:Y132),SUM(Z132:AE132),SUM(T132:V132),SUM(W132:Y132),SUM(Z132:AB132),SUM(AC132:AE132)),0)</f>
        <v/>
      </c>
      <c r="AG132" s="4" t="inlineStr">
        <is>
          <t>Whats</t>
        </is>
      </c>
      <c r="AH132">
        <f>IFERROR(CHOOSE(MATCH($AG$6,{"Ano Completo","1º Semestre","2º Semestre","1º Trimestre","2º Trimestre","3º Trimestre","4º Trimestre"},0),SUM(AI132:AT132),SUM(AI132:AN132),SUM(AO132:AT132),SUM(AI132:AK132),SUM(AL132:AN132),SUM(AO132:AQ132),SUM(AR132:AT132)),0)</f>
        <v/>
      </c>
      <c r="AW132" s="4" t="inlineStr">
        <is>
          <t>Whats</t>
        </is>
      </c>
      <c r="AX132">
        <f>IFERROR(CHOOSE(MATCH($AW$6,{"Ano Completo","1º Semestre","2º Semestre","1º Trimestre","2º Trimestre","3º Trimestre","4º Trimestre"},0),SUM(AY132:BJ132),SUM(AY132:BD132),SUM(BE132:BJ132),SUM(AY132:BA132),SUM(BB132:BD132),SUM(BE132:BG132),SUM(BH132:BJ132)),0)</f>
        <v/>
      </c>
      <c r="BL132" s="4" t="inlineStr">
        <is>
          <t>Whats</t>
        </is>
      </c>
      <c r="BM132">
        <f>IFERROR(CHOOSE(MATCH($BL$6,{"Ano Completo","1º Semestre","2º Semestre","1º Trimestre","2º Trimestre","3º Trimestre","4º Trimestre"},0),SUM(BN132:BY132),SUM(BN132:BS132),SUM(BT132:BY132),SUM(BN132:BP132),SUM(BQ132:BS132),SUM(BT132:BV132),SUM(BW132:BY132)),0)</f>
        <v/>
      </c>
      <c r="CB132" s="4" t="inlineStr">
        <is>
          <t>Whats</t>
        </is>
      </c>
      <c r="CC132">
        <f>IFERROR(CHOOSE(MATCH($CB$6,{"Ano Completo","1º Semestre","2º Semestre","1º Trimestre","2º Trimestre","3º Trimestre","4º Trimestre"},0),SUM(CD132:CO132),SUM(CD132:CI132),SUM(CJ132:CO132),SUM(CD132:CF132),SUM(CG132:CI132),SUM(CJ132:CL132),SUM(CM132:CO132)),0)</f>
        <v/>
      </c>
      <c r="CQ132" s="4" t="inlineStr">
        <is>
          <t>Whats</t>
        </is>
      </c>
      <c r="CR132">
        <f>IFERROR(CHOOSE(MATCH($CQ$6,{"Ano Completo","1º Semestre","2º Semestre","1º Trimestre","2º Trimestre","3º Trimestre","4º Trimestre"},0),SUM(CS132:DD132),SUM(CS132:CX132),SUM(CY132:DD132),SUM(CS132:CU132),SUM(CV132:CX132),SUM(CY132:DA132),SUM(DB132:DD132)),0)</f>
        <v/>
      </c>
      <c r="DG132" s="4" t="inlineStr">
        <is>
          <t>Whats</t>
        </is>
      </c>
      <c r="DH132">
        <f>IFERROR(CHOOSE(MATCH($DG$6,{"Ano Completo","1º Semestre","2º Semestre","1º Trimestre","2º Trimestre","3º Trimestre","4º Trimestre"},0),SUM(DI132:DT132),SUM(DI132:DN132),SUM(DO132:DT132),SUM(DI132:DK132),SUM(DL132:DN132),SUM(DO132:DQ132),SUM(DR132:DT132)),0)</f>
        <v/>
      </c>
      <c r="DV132" s="4" t="inlineStr">
        <is>
          <t>Whats</t>
        </is>
      </c>
      <c r="DW132">
        <f>IFERROR(CHOOSE(MATCH($DV$6,{"Ano Completo","1º Semestre","2º Semestre","1º Trimestre","2º Trimestre","3º Trimestre","4º Trimestre"},0),SUM(DX132:EI132),SUM(DX132:EC132),SUM(ED132:EI132),SUM(DX132:DZ132),SUM(EA132:EC132),SUM(ED132:EF132),SUM(EG132:EI132)),0)</f>
        <v/>
      </c>
      <c r="EL132" s="4" t="inlineStr">
        <is>
          <t>Whats</t>
        </is>
      </c>
      <c r="EM132">
        <f>IFERROR(CHOOSE(MATCH($EL$6,{"Ano Completo","1º Semestre","2º Semestre","1º Trimestre","2º Trimestre","3º Trimestre","4º Trimestre"},0),SUM(EN132:EY132),SUM(EN132:ES132),SUM(ET132:EY132),SUM(EN132:EP132),SUM(EQ132:ES132),SUM(ET132:EV132),SUM(EW132:EY132)),0)</f>
        <v/>
      </c>
    </row>
    <row r="133">
      <c r="B133" s="4" t="inlineStr">
        <is>
          <t>SRC</t>
        </is>
      </c>
      <c r="C133">
        <f>IFERROR(CHOOSE(MATCH($B$6,{"Ano Completo","1º Semestre","2º Semestre","1º Trimestre","2º Trimestre","3º Trimestre","4º Trimestre"},0),SUM(D133:O133),SUM(D133:I133),SUM(J133:O133),SUM(D133:F133),SUM(G133:I133),SUM(J133:L133),SUM(M133:O133)),0)</f>
        <v/>
      </c>
      <c r="R133" s="4" t="inlineStr">
        <is>
          <t>SRC</t>
        </is>
      </c>
      <c r="S133">
        <f>IFERROR(CHOOSE(MATCH($R$6,{"Ano Completo","1º Semestre","2º Semestre","1º Trimestre","2º Trimestre","3º Trimestre","4º Trimestre"},0),SUM(T133:AE133),SUM(T133:Y133),SUM(Z133:AE133),SUM(T133:V133),SUM(W133:Y133),SUM(Z133:AB133),SUM(AC133:AE133)),0)</f>
        <v/>
      </c>
      <c r="AG133" s="4" t="inlineStr">
        <is>
          <t>SRC</t>
        </is>
      </c>
      <c r="AH133">
        <f>IFERROR(CHOOSE(MATCH($AG$6,{"Ano Completo","1º Semestre","2º Semestre","1º Trimestre","2º Trimestre","3º Trimestre","4º Trimestre"},0),SUM(AI133:AT133),SUM(AI133:AN133),SUM(AO133:AT133),SUM(AI133:AK133),SUM(AL133:AN133),SUM(AO133:AQ133),SUM(AR133:AT133)),0)</f>
        <v/>
      </c>
      <c r="AI133" t="n">
        <v>1848</v>
      </c>
      <c r="AJ133" t="n">
        <v>7751</v>
      </c>
      <c r="AK133" t="n">
        <v>19297</v>
      </c>
      <c r="AL133" t="n">
        <v>1584</v>
      </c>
      <c r="AM133" t="n">
        <v>18738</v>
      </c>
      <c r="AN133" t="n">
        <v>16860</v>
      </c>
      <c r="AO133" t="n">
        <v>17145</v>
      </c>
      <c r="AP133" t="n">
        <v>16731</v>
      </c>
      <c r="AQ133" t="n">
        <v>15796</v>
      </c>
      <c r="AR133" t="n">
        <v>1855</v>
      </c>
      <c r="AS133" t="n">
        <v>14743</v>
      </c>
      <c r="AT133" t="n">
        <v>19012</v>
      </c>
      <c r="AW133" s="4" t="inlineStr">
        <is>
          <t>SRC</t>
        </is>
      </c>
      <c r="AX133">
        <f>IFERROR(CHOOSE(MATCH($AW$6,{"Ano Completo","1º Semestre","2º Semestre","1º Trimestre","2º Trimestre","3º Trimestre","4º Trimestre"},0),SUM(AY133:BJ133),SUM(AY133:BD133),SUM(BE133:BJ133),SUM(AY133:BA133),SUM(BB133:BD133),SUM(BE133:BG133),SUM(BH133:BJ133)),0)</f>
        <v/>
      </c>
      <c r="AY133" t="n">
        <v>6345</v>
      </c>
      <c r="AZ133" t="n">
        <v>13918</v>
      </c>
      <c r="BA133" t="n">
        <v>5357</v>
      </c>
      <c r="BB133" t="n">
        <v>3946</v>
      </c>
      <c r="BC133" t="n">
        <v>17837</v>
      </c>
      <c r="BD133" t="n">
        <v>11463</v>
      </c>
      <c r="BE133" t="n">
        <v>16124</v>
      </c>
      <c r="BF133" t="n">
        <v>1160</v>
      </c>
      <c r="BG133" t="n">
        <v>9353</v>
      </c>
      <c r="BH133" t="n">
        <v>1028</v>
      </c>
      <c r="BI133" t="n">
        <v>10069</v>
      </c>
      <c r="BJ133" t="n">
        <v>1913</v>
      </c>
      <c r="BL133" s="4" t="inlineStr">
        <is>
          <t>SRC</t>
        </is>
      </c>
      <c r="BM133">
        <f>IFERROR(CHOOSE(MATCH($BL$6,{"Ano Completo","1º Semestre","2º Semestre","1º Trimestre","2º Trimestre","3º Trimestre","4º Trimestre"},0),SUM(BN133:BY133),SUM(BN133:BS133),SUM(BT133:BY133),SUM(BN133:BP133),SUM(BQ133:BS133),SUM(BT133:BV133),SUM(BW133:BY133)),0)</f>
        <v/>
      </c>
      <c r="BN133" t="n">
        <v>1848</v>
      </c>
      <c r="BO133" t="n">
        <v>7751</v>
      </c>
      <c r="BP133" t="n">
        <v>19297</v>
      </c>
      <c r="BQ133" t="n">
        <v>1584</v>
      </c>
      <c r="BR133" t="n">
        <v>18738</v>
      </c>
      <c r="BS133" t="n">
        <v>16860</v>
      </c>
      <c r="BT133" t="n">
        <v>17145</v>
      </c>
      <c r="BU133" t="n">
        <v>16731</v>
      </c>
      <c r="BV133" t="n">
        <v>15796</v>
      </c>
      <c r="BW133" t="n">
        <v>1855</v>
      </c>
      <c r="BX133" t="n">
        <v>14743</v>
      </c>
      <c r="BY133" t="n">
        <v>19012</v>
      </c>
      <c r="CB133" s="4" t="inlineStr">
        <is>
          <t>SRC</t>
        </is>
      </c>
      <c r="CC133">
        <f>IFERROR(CHOOSE(MATCH($CB$6,{"Ano Completo","1º Semestre","2º Semestre","1º Trimestre","2º Trimestre","3º Trimestre","4º Trimestre"},0),SUM(CD133:CO133),SUM(CD133:CI133),SUM(CJ133:CO133),SUM(CD133:CF133),SUM(CG133:CI133),SUM(CJ133:CL133),SUM(CM133:CO133)),0)</f>
        <v/>
      </c>
      <c r="CD133" t="n">
        <v>6345</v>
      </c>
      <c r="CE133" t="n">
        <v>13918</v>
      </c>
      <c r="CF133" t="n">
        <v>5357</v>
      </c>
      <c r="CG133" t="n">
        <v>3946</v>
      </c>
      <c r="CH133" t="n">
        <v>17837</v>
      </c>
      <c r="CI133" t="n">
        <v>11463</v>
      </c>
      <c r="CJ133" t="n">
        <v>16124</v>
      </c>
      <c r="CK133" t="n">
        <v>1160</v>
      </c>
      <c r="CL133" t="n">
        <v>9353</v>
      </c>
      <c r="CM133" t="n">
        <v>1028</v>
      </c>
      <c r="CN133" t="n">
        <v>10069</v>
      </c>
      <c r="CO133" t="n">
        <v>1913</v>
      </c>
      <c r="CQ133" s="4" t="inlineStr">
        <is>
          <t>SRC</t>
        </is>
      </c>
      <c r="CR133">
        <f>IFERROR(CHOOSE(MATCH($CQ$6,{"Ano Completo","1º Semestre","2º Semestre","1º Trimestre","2º Trimestre","3º Trimestre","4º Trimestre"},0),SUM(CS133:DD133),SUM(CS133:CX133),SUM(CY133:DD133),SUM(CS133:CU133),SUM(CV133:CX133),SUM(CY133:DA133),SUM(DB133:DD133)),0)</f>
        <v/>
      </c>
      <c r="CS133" t="n">
        <v>1848</v>
      </c>
      <c r="CT133" t="n">
        <v>7751</v>
      </c>
      <c r="CU133" t="n">
        <v>19297</v>
      </c>
      <c r="CV133" t="n">
        <v>1584</v>
      </c>
      <c r="CW133" t="n">
        <v>18738</v>
      </c>
      <c r="CX133" t="n">
        <v>16860</v>
      </c>
      <c r="CY133" t="n">
        <v>17145</v>
      </c>
      <c r="CZ133" t="n">
        <v>16731</v>
      </c>
      <c r="DA133" t="n">
        <v>15796</v>
      </c>
      <c r="DB133" t="n">
        <v>1855</v>
      </c>
      <c r="DC133" t="n">
        <v>14743</v>
      </c>
      <c r="DD133" t="n">
        <v>19012</v>
      </c>
      <c r="DG133" s="4" t="inlineStr">
        <is>
          <t>SRC</t>
        </is>
      </c>
      <c r="DH133">
        <f>IFERROR(CHOOSE(MATCH($DG$6,{"Ano Completo","1º Semestre","2º Semestre","1º Trimestre","2º Trimestre","3º Trimestre","4º Trimestre"},0),SUM(DI133:DT133),SUM(DI133:DN133),SUM(DO133:DT133),SUM(DI133:DK133),SUM(DL133:DN133),SUM(DO133:DQ133),SUM(DR133:DT133)),0)</f>
        <v/>
      </c>
      <c r="DI133" t="n">
        <v>6345</v>
      </c>
      <c r="DJ133" t="n">
        <v>13918</v>
      </c>
      <c r="DK133" t="n">
        <v>5357</v>
      </c>
      <c r="DL133" t="n">
        <v>3946</v>
      </c>
      <c r="DM133" t="n">
        <v>17837</v>
      </c>
      <c r="DN133" t="n">
        <v>11463</v>
      </c>
      <c r="DO133" t="n">
        <v>16124</v>
      </c>
      <c r="DP133" t="n">
        <v>1160</v>
      </c>
      <c r="DQ133" t="n">
        <v>9353</v>
      </c>
      <c r="DR133" t="n">
        <v>1028</v>
      </c>
      <c r="DS133" t="n">
        <v>10069</v>
      </c>
      <c r="DT133" t="n">
        <v>1913</v>
      </c>
      <c r="DV133" s="4" t="inlineStr">
        <is>
          <t>SRC</t>
        </is>
      </c>
      <c r="DW133">
        <f>IFERROR(CHOOSE(MATCH($DV$6,{"Ano Completo","1º Semestre","2º Semestre","1º Trimestre","2º Trimestre","3º Trimestre","4º Trimestre"},0),SUM(DX133:EI133),SUM(DX133:EC133),SUM(ED133:EI133),SUM(DX133:DZ133),SUM(EA133:EC133),SUM(ED133:EF133),SUM(EG133:EI133)),0)</f>
        <v/>
      </c>
      <c r="DX133" t="n">
        <v>1848</v>
      </c>
      <c r="DY133" t="n">
        <v>7751</v>
      </c>
      <c r="DZ133" t="n">
        <v>19297</v>
      </c>
      <c r="EA133" t="n">
        <v>1584</v>
      </c>
      <c r="EB133" t="n">
        <v>18738</v>
      </c>
      <c r="EC133" t="n">
        <v>16860</v>
      </c>
      <c r="ED133" t="n">
        <v>17145</v>
      </c>
      <c r="EE133" t="n">
        <v>16731</v>
      </c>
      <c r="EF133" t="n">
        <v>15796</v>
      </c>
      <c r="EG133" t="n">
        <v>1855</v>
      </c>
      <c r="EH133" t="n">
        <v>14743</v>
      </c>
      <c r="EI133" t="n">
        <v>19012</v>
      </c>
      <c r="EL133" s="4" t="inlineStr">
        <is>
          <t>SRC</t>
        </is>
      </c>
      <c r="EM133">
        <f>IFERROR(CHOOSE(MATCH($EL$6,{"Ano Completo","1º Semestre","2º Semestre","1º Trimestre","2º Trimestre","3º Trimestre","4º Trimestre"},0),SUM(EN133:EY133),SUM(EN133:ES133),SUM(ET133:EY133),SUM(EN133:EP133),SUM(EQ133:ES133),SUM(ET133:EV133),SUM(EW133:EY133)),0)</f>
        <v/>
      </c>
      <c r="EN133" t="n">
        <v>6345</v>
      </c>
      <c r="EO133" t="n">
        <v>13918</v>
      </c>
      <c r="EP133" t="n">
        <v>5357</v>
      </c>
      <c r="EQ133" t="n">
        <v>3946</v>
      </c>
      <c r="ER133" t="n">
        <v>17837</v>
      </c>
      <c r="ES133" t="n">
        <v>11463</v>
      </c>
      <c r="ET133" t="n">
        <v>16124</v>
      </c>
      <c r="EU133" t="n">
        <v>1160</v>
      </c>
      <c r="EV133" t="n">
        <v>9353</v>
      </c>
      <c r="EW133" t="n">
        <v>1028</v>
      </c>
      <c r="EX133" t="n">
        <v>10069</v>
      </c>
      <c r="EY133" t="n">
        <v>1913</v>
      </c>
    </row>
    <row r="134">
      <c r="B134" s="4" t="inlineStr">
        <is>
          <t>Custo C/ Portal de Negociação</t>
        </is>
      </c>
      <c r="C134">
        <f>IFERROR(CHOOSE(MATCH($B$6,{"Ano Completo","1º Semestre","2º Semestre","1º Trimestre","2º Trimestre","3º Trimestre","4º Trimestre"},0),SUM(D134:O134),SUM(D134:I134),SUM(J134:O134),SUM(D134:F134),SUM(G134:I134),SUM(J134:L134),SUM(M134:O134)),0)</f>
        <v/>
      </c>
      <c r="R134" s="4" t="inlineStr">
        <is>
          <t>Custo C/ Portal de Negociação</t>
        </is>
      </c>
      <c r="S134">
        <f>IFERROR(CHOOSE(MATCH($R$6,{"Ano Completo","1º Semestre","2º Semestre","1º Trimestre","2º Trimestre","3º Trimestre","4º Trimestre"},0),SUM(T134:AE134),SUM(T134:Y134),SUM(Z134:AE134),SUM(T134:V134),SUM(W134:Y134),SUM(Z134:AB134),SUM(AC134:AE134)),0)</f>
        <v/>
      </c>
      <c r="AG134" s="4" t="inlineStr">
        <is>
          <t>Custo C/ Portal de Negociação</t>
        </is>
      </c>
      <c r="AH134">
        <f>IFERROR(CHOOSE(MATCH($AG$6,{"Ano Completo","1º Semestre","2º Semestre","1º Trimestre","2º Trimestre","3º Trimestre","4º Trimestre"},0),SUM(AI134:AT134),SUM(AI134:AN134),SUM(AO134:AT134),SUM(AI134:AK134),SUM(AL134:AN134),SUM(AO134:AQ134),SUM(AR134:AT134)),0)</f>
        <v/>
      </c>
      <c r="AW134" s="4" t="inlineStr">
        <is>
          <t>Custo C/ Portal de Negociação</t>
        </is>
      </c>
      <c r="AX134">
        <f>IFERROR(CHOOSE(MATCH($AW$6,{"Ano Completo","1º Semestre","2º Semestre","1º Trimestre","2º Trimestre","3º Trimestre","4º Trimestre"},0),SUM(AY134:BJ134),SUM(AY134:BD134),SUM(BE134:BJ134),SUM(AY134:BA134),SUM(BB134:BD134),SUM(BE134:BG134),SUM(BH134:BJ134)),0)</f>
        <v/>
      </c>
      <c r="BL134" s="4" t="inlineStr">
        <is>
          <t>Custo C/ Portal de Negociação</t>
        </is>
      </c>
      <c r="BM134">
        <f>IFERROR(CHOOSE(MATCH($BL$6,{"Ano Completo","1º Semestre","2º Semestre","1º Trimestre","2º Trimestre","3º Trimestre","4º Trimestre"},0),SUM(BN134:BY134),SUM(BN134:BS134),SUM(BT134:BY134),SUM(BN134:BP134),SUM(BQ134:BS134),SUM(BT134:BV134),SUM(BW134:BY134)),0)</f>
        <v/>
      </c>
      <c r="CB134" s="4" t="inlineStr">
        <is>
          <t>Custo C/ Portal de Negociação</t>
        </is>
      </c>
      <c r="CC134">
        <f>IFERROR(CHOOSE(MATCH($CB$6,{"Ano Completo","1º Semestre","2º Semestre","1º Trimestre","2º Trimestre","3º Trimestre","4º Trimestre"},0),SUM(CD134:CO134),SUM(CD134:CI134),SUM(CJ134:CO134),SUM(CD134:CF134),SUM(CG134:CI134),SUM(CJ134:CL134),SUM(CM134:CO134)),0)</f>
        <v/>
      </c>
      <c r="CQ134" s="4" t="inlineStr">
        <is>
          <t>Custo C/ Portal de Negociação</t>
        </is>
      </c>
      <c r="CR134">
        <f>IFERROR(CHOOSE(MATCH($CQ$6,{"Ano Completo","1º Semestre","2º Semestre","1º Trimestre","2º Trimestre","3º Trimestre","4º Trimestre"},0),SUM(CS134:DD134),SUM(CS134:CX134),SUM(CY134:DD134),SUM(CS134:CU134),SUM(CV134:CX134),SUM(CY134:DA134),SUM(DB134:DD134)),0)</f>
        <v/>
      </c>
      <c r="DG134" s="4" t="inlineStr">
        <is>
          <t>Custo C/ Portal de Negociação</t>
        </is>
      </c>
      <c r="DH134">
        <f>IFERROR(CHOOSE(MATCH($DG$6,{"Ano Completo","1º Semestre","2º Semestre","1º Trimestre","2º Trimestre","3º Trimestre","4º Trimestre"},0),SUM(DI134:DT134),SUM(DI134:DN134),SUM(DO134:DT134),SUM(DI134:DK134),SUM(DL134:DN134),SUM(DO134:DQ134),SUM(DR134:DT134)),0)</f>
        <v/>
      </c>
      <c r="DV134" s="4" t="inlineStr">
        <is>
          <t>Custo C/ Portal de Negociação</t>
        </is>
      </c>
      <c r="DW134">
        <f>IFERROR(CHOOSE(MATCH($DV$6,{"Ano Completo","1º Semestre","2º Semestre","1º Trimestre","2º Trimestre","3º Trimestre","4º Trimestre"},0),SUM(DX134:EI134),SUM(DX134:EC134),SUM(ED134:EI134),SUM(DX134:DZ134),SUM(EA134:EC134),SUM(ED134:EF134),SUM(EG134:EI134)),0)</f>
        <v/>
      </c>
      <c r="EL134" s="4" t="inlineStr">
        <is>
          <t>Custo C/ Portal de Negociação</t>
        </is>
      </c>
      <c r="EM134">
        <f>IFERROR(CHOOSE(MATCH($EL$6,{"Ano Completo","1º Semestre","2º Semestre","1º Trimestre","2º Trimestre","3º Trimestre","4º Trimestre"},0),SUM(EN134:EY134),SUM(EN134:ES134),SUM(ET134:EY134),SUM(EN134:EP134),SUM(EQ134:ES134),SUM(ET134:EV134),SUM(EW134:EY134)),0)</f>
        <v/>
      </c>
    </row>
    <row r="135">
      <c r="B135" s="4" t="inlineStr">
        <is>
          <t>Custo C/ Agente Virtual</t>
        </is>
      </c>
      <c r="C135">
        <f>IFERROR(CHOOSE(MATCH($B$6,{"Ano Completo","1º Semestre","2º Semestre","1º Trimestre","2º Trimestre","3º Trimestre","4º Trimestre"},0),SUM(D135:O135),SUM(D135:I135),SUM(J135:O135),SUM(D135:F135),SUM(G135:I135),SUM(J135:L135),SUM(M135:O135)),0)</f>
        <v/>
      </c>
      <c r="R135" s="4" t="inlineStr">
        <is>
          <t>Custo C/ Agente Virtual</t>
        </is>
      </c>
      <c r="S135">
        <f>IFERROR(CHOOSE(MATCH($R$6,{"Ano Completo","1º Semestre","2º Semestre","1º Trimestre","2º Trimestre","3º Trimestre","4º Trimestre"},0),SUM(T135:AE135),SUM(T135:Y135),SUM(Z135:AE135),SUM(T135:V135),SUM(W135:Y135),SUM(Z135:AB135),SUM(AC135:AE135)),0)</f>
        <v/>
      </c>
      <c r="AG135" s="4" t="inlineStr">
        <is>
          <t>Custo C/ Agente Virtual</t>
        </is>
      </c>
      <c r="AH135">
        <f>IFERROR(CHOOSE(MATCH($AG$6,{"Ano Completo","1º Semestre","2º Semestre","1º Trimestre","2º Trimestre","3º Trimestre","4º Trimestre"},0),SUM(AI135:AT135),SUM(AI135:AN135),SUM(AO135:AT135),SUM(AI135:AK135),SUM(AL135:AN135),SUM(AO135:AQ135),SUM(AR135:AT135)),0)</f>
        <v/>
      </c>
      <c r="AW135" s="4" t="inlineStr">
        <is>
          <t>Custo C/ Agente Virtual</t>
        </is>
      </c>
      <c r="AX135">
        <f>IFERROR(CHOOSE(MATCH($AW$6,{"Ano Completo","1º Semestre","2º Semestre","1º Trimestre","2º Trimestre","3º Trimestre","4º Trimestre"},0),SUM(AY135:BJ135),SUM(AY135:BD135),SUM(BE135:BJ135),SUM(AY135:BA135),SUM(BB135:BD135),SUM(BE135:BG135),SUM(BH135:BJ135)),0)</f>
        <v/>
      </c>
      <c r="BL135" s="4" t="inlineStr">
        <is>
          <t>Custo C/ Agente Virtual</t>
        </is>
      </c>
      <c r="BM135">
        <f>IFERROR(CHOOSE(MATCH($BL$6,{"Ano Completo","1º Semestre","2º Semestre","1º Trimestre","2º Trimestre","3º Trimestre","4º Trimestre"},0),SUM(BN135:BY135),SUM(BN135:BS135),SUM(BT135:BY135),SUM(BN135:BP135),SUM(BQ135:BS135),SUM(BT135:BV135),SUM(BW135:BY135)),0)</f>
        <v/>
      </c>
      <c r="CB135" s="4" t="inlineStr">
        <is>
          <t>Custo C/ Agente Virtual</t>
        </is>
      </c>
      <c r="CC135">
        <f>IFERROR(CHOOSE(MATCH($CB$6,{"Ano Completo","1º Semestre","2º Semestre","1º Trimestre","2º Trimestre","3º Trimestre","4º Trimestre"},0),SUM(CD135:CO135),SUM(CD135:CI135),SUM(CJ135:CO135),SUM(CD135:CF135),SUM(CG135:CI135),SUM(CJ135:CL135),SUM(CM135:CO135)),0)</f>
        <v/>
      </c>
      <c r="CQ135" s="4" t="inlineStr">
        <is>
          <t>Custo C/ Agente Virtual</t>
        </is>
      </c>
      <c r="CR135">
        <f>IFERROR(CHOOSE(MATCH($CQ$6,{"Ano Completo","1º Semestre","2º Semestre","1º Trimestre","2º Trimestre","3º Trimestre","4º Trimestre"},0),SUM(CS135:DD135),SUM(CS135:CX135),SUM(CY135:DD135),SUM(CS135:CU135),SUM(CV135:CX135),SUM(CY135:DA135),SUM(DB135:DD135)),0)</f>
        <v/>
      </c>
      <c r="DG135" s="4" t="inlineStr">
        <is>
          <t>Custo C/ Agente Virtual</t>
        </is>
      </c>
      <c r="DH135">
        <f>IFERROR(CHOOSE(MATCH($DG$6,{"Ano Completo","1º Semestre","2º Semestre","1º Trimestre","2º Trimestre","3º Trimestre","4º Trimestre"},0),SUM(DI135:DT135),SUM(DI135:DN135),SUM(DO135:DT135),SUM(DI135:DK135),SUM(DL135:DN135),SUM(DO135:DQ135),SUM(DR135:DT135)),0)</f>
        <v/>
      </c>
      <c r="DV135" s="4" t="inlineStr">
        <is>
          <t>Custo C/ Agente Virtual</t>
        </is>
      </c>
      <c r="DW135">
        <f>IFERROR(CHOOSE(MATCH($DV$6,{"Ano Completo","1º Semestre","2º Semestre","1º Trimestre","2º Trimestre","3º Trimestre","4º Trimestre"},0),SUM(DX135:EI135),SUM(DX135:EC135),SUM(ED135:EI135),SUM(DX135:DZ135),SUM(EA135:EC135),SUM(ED135:EF135),SUM(EG135:EI135)),0)</f>
        <v/>
      </c>
      <c r="EL135" s="4" t="inlineStr">
        <is>
          <t>Custo C/ Agente Virtual</t>
        </is>
      </c>
      <c r="EM135">
        <f>IFERROR(CHOOSE(MATCH($EL$6,{"Ano Completo","1º Semestre","2º Semestre","1º Trimestre","2º Trimestre","3º Trimestre","4º Trimestre"},0),SUM(EN135:EY135),SUM(EN135:ES135),SUM(ET135:EY135),SUM(EN135:EP135),SUM(EQ135:ES135),SUM(ET135:EV135),SUM(EW135:EY135)),0)</f>
        <v/>
      </c>
    </row>
    <row r="140">
      <c r="B140" t="inlineStr">
        <is>
          <t>Despesas Infra</t>
        </is>
      </c>
      <c r="C140">
        <f>IFERROR(CHOOSE(MATCH($B$6,{"Ano Completo","1º Semestre","2º Semestre","1º Trimestre","2º Trimestre","3º Trimestre","4º Trimestre"},0),SUM(D140:O140),SUM(D140:I140),SUM(J140:O140),SUM(D140:F140),SUM(G140:I140),SUM(J140:L140),SUM(M140:O140)),0)</f>
        <v/>
      </c>
      <c r="R140" t="inlineStr">
        <is>
          <t>Despesas Infra</t>
        </is>
      </c>
      <c r="S140">
        <f>IFERROR(CHOOSE(MATCH($R$6,{"Ano Completo","1º Semestre","2º Semestre","1º Trimestre","2º Trimestre","3º Trimestre","4º Trimestre"},0),SUM(T140:AE140),SUM(T140:Y140),SUM(Z140:AE140),SUM(T140:V140),SUM(W140:Y140),SUM(Z140:AB140),SUM(AC140:AE140)),0)</f>
        <v/>
      </c>
      <c r="AG140" t="inlineStr">
        <is>
          <t>Despesas Infra</t>
        </is>
      </c>
      <c r="AH140">
        <f>IFERROR(CHOOSE(MATCH($AG$6,{"Ano Completo","1º Semestre","2º Semestre","1º Trimestre","2º Trimestre","3º Trimestre","4º Trimestre"},0),SUM(AI140:AT140),SUM(AI140:AN140),SUM(AO140:AT140),SUM(AI140:AK140),SUM(AL140:AN140),SUM(AO140:AQ140),SUM(AR140:AT140)),0)</f>
        <v/>
      </c>
      <c r="AI140" t="n">
        <v>127466</v>
      </c>
      <c r="AJ140" t="n">
        <v>139394</v>
      </c>
      <c r="AK140" t="n">
        <v>130568</v>
      </c>
      <c r="AL140" t="n">
        <v>143301</v>
      </c>
      <c r="AM140" t="n">
        <v>139305</v>
      </c>
      <c r="AN140" t="n">
        <v>120651</v>
      </c>
      <c r="AO140" t="n">
        <v>104730</v>
      </c>
      <c r="AP140" t="n">
        <v>157470</v>
      </c>
      <c r="AQ140" t="n">
        <v>139892</v>
      </c>
      <c r="AR140" t="n">
        <v>91895</v>
      </c>
      <c r="AS140" t="n">
        <v>124407</v>
      </c>
      <c r="AT140" t="n">
        <v>144398</v>
      </c>
      <c r="AW140" t="inlineStr">
        <is>
          <t>Despesas Infra</t>
        </is>
      </c>
      <c r="AX140">
        <f>IFERROR(CHOOSE(MATCH($AW$6,{"Ano Completo","1º Semestre","2º Semestre","1º Trimestre","2º Trimestre","3º Trimestre","4º Trimestre"},0),SUM(AY140:BJ140),SUM(AY140:BD140),SUM(BE140:BJ140),SUM(AY140:BA140),SUM(BB140:BD140),SUM(BE140:BG140),SUM(BH140:BJ140)),0)</f>
        <v/>
      </c>
      <c r="AY140" t="n">
        <v>105520</v>
      </c>
      <c r="AZ140" t="n">
        <v>133379</v>
      </c>
      <c r="BA140" t="n">
        <v>115153</v>
      </c>
      <c r="BB140" t="n">
        <v>121716</v>
      </c>
      <c r="BC140" t="n">
        <v>137251</v>
      </c>
      <c r="BD140" t="n">
        <v>107524</v>
      </c>
      <c r="BE140" t="n">
        <v>106900</v>
      </c>
      <c r="BF140" t="n">
        <v>135323</v>
      </c>
      <c r="BG140" t="n">
        <v>119167</v>
      </c>
      <c r="BH140" t="n">
        <v>156560</v>
      </c>
      <c r="BI140" t="n">
        <v>126453</v>
      </c>
      <c r="BJ140" t="n">
        <v>162392</v>
      </c>
      <c r="BL140" t="inlineStr">
        <is>
          <t>Despesas Infra</t>
        </is>
      </c>
      <c r="BM140">
        <f>IFERROR(CHOOSE(MATCH($BL$6,{"Ano Completo","1º Semestre","2º Semestre","1º Trimestre","2º Trimestre","3º Trimestre","4º Trimestre"},0),SUM(BN140:BY140),SUM(BN140:BS140),SUM(BT140:BY140),SUM(BN140:BP140),SUM(BQ140:BS140),SUM(BT140:BV140),SUM(BW140:BY140)),0)</f>
        <v/>
      </c>
      <c r="BN140" t="n">
        <v>127466</v>
      </c>
      <c r="BO140" t="n">
        <v>139394</v>
      </c>
      <c r="BP140" t="n">
        <v>130568</v>
      </c>
      <c r="BQ140" t="n">
        <v>143301</v>
      </c>
      <c r="BR140" t="n">
        <v>139305</v>
      </c>
      <c r="BS140" t="n">
        <v>120651</v>
      </c>
      <c r="BT140" t="n">
        <v>104730</v>
      </c>
      <c r="BU140" t="n">
        <v>157470</v>
      </c>
      <c r="BV140" t="n">
        <v>139892</v>
      </c>
      <c r="BW140" t="n">
        <v>91895</v>
      </c>
      <c r="BX140" t="n">
        <v>124407</v>
      </c>
      <c r="BY140" t="n">
        <v>144398</v>
      </c>
      <c r="CB140" t="inlineStr">
        <is>
          <t>Despesas Infra</t>
        </is>
      </c>
      <c r="CC140">
        <f>IFERROR(CHOOSE(MATCH($CB$6,{"Ano Completo","1º Semestre","2º Semestre","1º Trimestre","2º Trimestre","3º Trimestre","4º Trimestre"},0),SUM(CD140:CO140),SUM(CD140:CI140),SUM(CJ140:CO140),SUM(CD140:CF140),SUM(CG140:CI140),SUM(CJ140:CL140),SUM(CM140:CO140)),0)</f>
        <v/>
      </c>
      <c r="CD140" t="n">
        <v>105520</v>
      </c>
      <c r="CE140" t="n">
        <v>133379</v>
      </c>
      <c r="CF140" t="n">
        <v>115153</v>
      </c>
      <c r="CG140" t="n">
        <v>121716</v>
      </c>
      <c r="CH140" t="n">
        <v>137251</v>
      </c>
      <c r="CI140" t="n">
        <v>107524</v>
      </c>
      <c r="CJ140" t="n">
        <v>106900</v>
      </c>
      <c r="CK140" t="n">
        <v>135323</v>
      </c>
      <c r="CL140" t="n">
        <v>119167</v>
      </c>
      <c r="CM140" t="n">
        <v>156560</v>
      </c>
      <c r="CN140" t="n">
        <v>126453</v>
      </c>
      <c r="CO140" t="n">
        <v>162392</v>
      </c>
      <c r="CQ140" t="inlineStr">
        <is>
          <t>Despesas Infra</t>
        </is>
      </c>
      <c r="CR140">
        <f>IFERROR(CHOOSE(MATCH($CQ$6,{"Ano Completo","1º Semestre","2º Semestre","1º Trimestre","2º Trimestre","3º Trimestre","4º Trimestre"},0),SUM(CS140:DD140),SUM(CS140:CX140),SUM(CY140:DD140),SUM(CS140:CU140),SUM(CV140:CX140),SUM(CY140:DA140),SUM(DB140:DD140)),0)</f>
        <v/>
      </c>
      <c r="CS140" t="n">
        <v>127466</v>
      </c>
      <c r="CT140" t="n">
        <v>139394</v>
      </c>
      <c r="CU140" t="n">
        <v>130568</v>
      </c>
      <c r="CV140" t="n">
        <v>143301</v>
      </c>
      <c r="CW140" t="n">
        <v>139305</v>
      </c>
      <c r="CX140" t="n">
        <v>120651</v>
      </c>
      <c r="CY140" t="n">
        <v>104730</v>
      </c>
      <c r="CZ140" t="n">
        <v>157470</v>
      </c>
      <c r="DA140" t="n">
        <v>139892</v>
      </c>
      <c r="DB140" t="n">
        <v>91895</v>
      </c>
      <c r="DC140" t="n">
        <v>124407</v>
      </c>
      <c r="DD140" t="n">
        <v>144398</v>
      </c>
      <c r="DG140" t="inlineStr">
        <is>
          <t>Despesas Infra</t>
        </is>
      </c>
      <c r="DH140">
        <f>IFERROR(CHOOSE(MATCH($DG$6,{"Ano Completo","1º Semestre","2º Semestre","1º Trimestre","2º Trimestre","3º Trimestre","4º Trimestre"},0),SUM(DI140:DT140),SUM(DI140:DN140),SUM(DO140:DT140),SUM(DI140:DK140),SUM(DL140:DN140),SUM(DO140:DQ140),SUM(DR140:DT140)),0)</f>
        <v/>
      </c>
      <c r="DI140" t="n">
        <v>105520</v>
      </c>
      <c r="DJ140" t="n">
        <v>133379</v>
      </c>
      <c r="DK140" t="n">
        <v>115153</v>
      </c>
      <c r="DL140" t="n">
        <v>121716</v>
      </c>
      <c r="DM140" t="n">
        <v>137251</v>
      </c>
      <c r="DN140" t="n">
        <v>107524</v>
      </c>
      <c r="DO140" t="n">
        <v>106900</v>
      </c>
      <c r="DP140" t="n">
        <v>135323</v>
      </c>
      <c r="DQ140" t="n">
        <v>119167</v>
      </c>
      <c r="DR140" t="n">
        <v>156560</v>
      </c>
      <c r="DS140" t="n">
        <v>126453</v>
      </c>
      <c r="DT140" t="n">
        <v>162392</v>
      </c>
      <c r="DV140" t="inlineStr">
        <is>
          <t>Despesas Infra</t>
        </is>
      </c>
      <c r="DW140">
        <f>IFERROR(CHOOSE(MATCH($DV$6,{"Ano Completo","1º Semestre","2º Semestre","1º Trimestre","2º Trimestre","3º Trimestre","4º Trimestre"},0),SUM(DX140:EI140),SUM(DX140:EC140),SUM(ED140:EI140),SUM(DX140:DZ140),SUM(EA140:EC140),SUM(ED140:EF140),SUM(EG140:EI140)),0)</f>
        <v/>
      </c>
      <c r="DX140" t="n">
        <v>127466</v>
      </c>
      <c r="DY140" t="n">
        <v>139394</v>
      </c>
      <c r="DZ140" t="n">
        <v>130568</v>
      </c>
      <c r="EA140" t="n">
        <v>143301</v>
      </c>
      <c r="EB140" t="n">
        <v>139305</v>
      </c>
      <c r="EC140" t="n">
        <v>120651</v>
      </c>
      <c r="ED140" t="n">
        <v>104730</v>
      </c>
      <c r="EE140" t="n">
        <v>157470</v>
      </c>
      <c r="EF140" t="n">
        <v>139892</v>
      </c>
      <c r="EG140" t="n">
        <v>91895</v>
      </c>
      <c r="EH140" t="n">
        <v>124407</v>
      </c>
      <c r="EI140" t="n">
        <v>144398</v>
      </c>
      <c r="EL140" t="inlineStr">
        <is>
          <t>Despesas Infra</t>
        </is>
      </c>
      <c r="EM140">
        <f>IFERROR(CHOOSE(MATCH($EL$6,{"Ano Completo","1º Semestre","2º Semestre","1º Trimestre","2º Trimestre","3º Trimestre","4º Trimestre"},0),SUM(EN140:EY140),SUM(EN140:ES140),SUM(ET140:EY140),SUM(EN140:EP140),SUM(EQ140:ES140),SUM(ET140:EV140),SUM(EW140:EY140)),0)</f>
        <v/>
      </c>
      <c r="EN140" t="n">
        <v>105520</v>
      </c>
      <c r="EO140" t="n">
        <v>133379</v>
      </c>
      <c r="EP140" t="n">
        <v>115153</v>
      </c>
      <c r="EQ140" t="n">
        <v>121716</v>
      </c>
      <c r="ER140" t="n">
        <v>137251</v>
      </c>
      <c r="ES140" t="n">
        <v>107524</v>
      </c>
      <c r="ET140" t="n">
        <v>106900</v>
      </c>
      <c r="EU140" t="n">
        <v>135323</v>
      </c>
      <c r="EV140" t="n">
        <v>119167</v>
      </c>
      <c r="EW140" t="n">
        <v>156560</v>
      </c>
      <c r="EX140" t="n">
        <v>126453</v>
      </c>
      <c r="EY140" t="n">
        <v>162392</v>
      </c>
    </row>
    <row r="142">
      <c r="B142" t="inlineStr">
        <is>
          <t>Água, Gás e Energia Elétrica</t>
        </is>
      </c>
      <c r="C142">
        <f>IFERROR(CHOOSE(MATCH($B$6,{"Ano Completo","1º Semestre","2º Semestre","1º Trimestre","2º Trimestre","3º Trimestre","4º Trimestre"},0),SUM(D142:O142),SUM(D142:I142),SUM(J142:O142),SUM(D142:F142),SUM(G142:I142),SUM(J142:L142),SUM(M142:O142)),0)</f>
        <v/>
      </c>
      <c r="R142" t="inlineStr">
        <is>
          <t>Água, Gás e Energia Elétrica</t>
        </is>
      </c>
      <c r="S142">
        <f>IFERROR(CHOOSE(MATCH($R$6,{"Ano Completo","1º Semestre","2º Semestre","1º Trimestre","2º Trimestre","3º Trimestre","4º Trimestre"},0),SUM(T142:AE142),SUM(T142:Y142),SUM(Z142:AE142),SUM(T142:V142),SUM(W142:Y142),SUM(Z142:AB142),SUM(AC142:AE142)),0)</f>
        <v/>
      </c>
      <c r="AG142" t="inlineStr">
        <is>
          <t>Água, Gás e Energia Elétrica</t>
        </is>
      </c>
      <c r="AH142">
        <f>IFERROR(CHOOSE(MATCH($AG$6,{"Ano Completo","1º Semestre","2º Semestre","1º Trimestre","2º Trimestre","3º Trimestre","4º Trimestre"},0),SUM(AI142:AT142),SUM(AI142:AN142),SUM(AO142:AT142),SUM(AI142:AK142),SUM(AL142:AN142),SUM(AO142:AQ142),SUM(AR142:AT142)),0)</f>
        <v/>
      </c>
      <c r="AI142" t="n">
        <v>18247</v>
      </c>
      <c r="AJ142" t="n">
        <v>7525</v>
      </c>
      <c r="AK142" t="n">
        <v>17905</v>
      </c>
      <c r="AL142" t="n">
        <v>7579</v>
      </c>
      <c r="AM142" t="n">
        <v>14447</v>
      </c>
      <c r="AN142" t="n">
        <v>13806</v>
      </c>
      <c r="AO142" t="n">
        <v>12205</v>
      </c>
      <c r="AP142" t="n">
        <v>8090</v>
      </c>
      <c r="AQ142" t="n">
        <v>13690</v>
      </c>
      <c r="AR142" t="n">
        <v>14584</v>
      </c>
      <c r="AS142" t="n">
        <v>16871</v>
      </c>
      <c r="AT142" t="n">
        <v>10133</v>
      </c>
      <c r="AW142" t="inlineStr">
        <is>
          <t>Água, Gás e Energia Elétrica</t>
        </is>
      </c>
      <c r="AX142">
        <f>IFERROR(CHOOSE(MATCH($AW$6,{"Ano Completo","1º Semestre","2º Semestre","1º Trimestre","2º Trimestre","3º Trimestre","4º Trimestre"},0),SUM(AY142:BJ142),SUM(AY142:BD142),SUM(BE142:BJ142),SUM(AY142:BA142),SUM(BB142:BD142),SUM(BE142:BG142),SUM(BH142:BJ142)),0)</f>
        <v/>
      </c>
      <c r="AY142" t="n">
        <v>10212</v>
      </c>
      <c r="AZ142" t="n">
        <v>13198</v>
      </c>
      <c r="BA142" t="n">
        <v>17176</v>
      </c>
      <c r="BB142" t="n">
        <v>8983</v>
      </c>
      <c r="BC142" t="n">
        <v>5756</v>
      </c>
      <c r="BD142" t="n">
        <v>10026</v>
      </c>
      <c r="BE142" t="n">
        <v>3219</v>
      </c>
      <c r="BF142" t="n">
        <v>16367</v>
      </c>
      <c r="BG142" t="n">
        <v>15570</v>
      </c>
      <c r="BH142" t="n">
        <v>1932</v>
      </c>
      <c r="BI142" t="n">
        <v>19357</v>
      </c>
      <c r="BJ142" t="n">
        <v>15889</v>
      </c>
      <c r="BL142" t="inlineStr">
        <is>
          <t>Água, Gás e Energia Elétrica</t>
        </is>
      </c>
      <c r="BM142">
        <f>IFERROR(CHOOSE(MATCH($BL$6,{"Ano Completo","1º Semestre","2º Semestre","1º Trimestre","2º Trimestre","3º Trimestre","4º Trimestre"},0),SUM(BN142:BY142),SUM(BN142:BS142),SUM(BT142:BY142),SUM(BN142:BP142),SUM(BQ142:BS142),SUM(BT142:BV142),SUM(BW142:BY142)),0)</f>
        <v/>
      </c>
      <c r="BN142" t="n">
        <v>18247</v>
      </c>
      <c r="BO142" t="n">
        <v>7525</v>
      </c>
      <c r="BP142" t="n">
        <v>17905</v>
      </c>
      <c r="BQ142" t="n">
        <v>7579</v>
      </c>
      <c r="BR142" t="n">
        <v>14447</v>
      </c>
      <c r="BS142" t="n">
        <v>13806</v>
      </c>
      <c r="BT142" t="n">
        <v>12205</v>
      </c>
      <c r="BU142" t="n">
        <v>8090</v>
      </c>
      <c r="BV142" t="n">
        <v>13690</v>
      </c>
      <c r="BW142" t="n">
        <v>14584</v>
      </c>
      <c r="BX142" t="n">
        <v>16871</v>
      </c>
      <c r="BY142" t="n">
        <v>10133</v>
      </c>
      <c r="CB142" t="inlineStr">
        <is>
          <t>Água, Gás e Energia Elétrica</t>
        </is>
      </c>
      <c r="CC142">
        <f>IFERROR(CHOOSE(MATCH($CB$6,{"Ano Completo","1º Semestre","2º Semestre","1º Trimestre","2º Trimestre","3º Trimestre","4º Trimestre"},0),SUM(CD142:CO142),SUM(CD142:CI142),SUM(CJ142:CO142),SUM(CD142:CF142),SUM(CG142:CI142),SUM(CJ142:CL142),SUM(CM142:CO142)),0)</f>
        <v/>
      </c>
      <c r="CD142" t="n">
        <v>10212</v>
      </c>
      <c r="CE142" t="n">
        <v>13198</v>
      </c>
      <c r="CF142" t="n">
        <v>17176</v>
      </c>
      <c r="CG142" t="n">
        <v>8983</v>
      </c>
      <c r="CH142" t="n">
        <v>5756</v>
      </c>
      <c r="CI142" t="n">
        <v>10026</v>
      </c>
      <c r="CJ142" t="n">
        <v>3219</v>
      </c>
      <c r="CK142" t="n">
        <v>16367</v>
      </c>
      <c r="CL142" t="n">
        <v>15570</v>
      </c>
      <c r="CM142" t="n">
        <v>1932</v>
      </c>
      <c r="CN142" t="n">
        <v>19357</v>
      </c>
      <c r="CO142" t="n">
        <v>15889</v>
      </c>
      <c r="CQ142" t="inlineStr">
        <is>
          <t>Água, Gás e Energia Elétrica</t>
        </is>
      </c>
      <c r="CR142">
        <f>IFERROR(CHOOSE(MATCH($CQ$6,{"Ano Completo","1º Semestre","2º Semestre","1º Trimestre","2º Trimestre","3º Trimestre","4º Trimestre"},0),SUM(CS142:DD142),SUM(CS142:CX142),SUM(CY142:DD142),SUM(CS142:CU142),SUM(CV142:CX142),SUM(CY142:DA142),SUM(DB142:DD142)),0)</f>
        <v/>
      </c>
      <c r="CS142" t="n">
        <v>18247</v>
      </c>
      <c r="CT142" t="n">
        <v>7525</v>
      </c>
      <c r="CU142" t="n">
        <v>17905</v>
      </c>
      <c r="CV142" t="n">
        <v>7579</v>
      </c>
      <c r="CW142" t="n">
        <v>14447</v>
      </c>
      <c r="CX142" t="n">
        <v>13806</v>
      </c>
      <c r="CY142" t="n">
        <v>12205</v>
      </c>
      <c r="CZ142" t="n">
        <v>8090</v>
      </c>
      <c r="DA142" t="n">
        <v>13690</v>
      </c>
      <c r="DB142" t="n">
        <v>14584</v>
      </c>
      <c r="DC142" t="n">
        <v>16871</v>
      </c>
      <c r="DD142" t="n">
        <v>10133</v>
      </c>
      <c r="DG142" t="inlineStr">
        <is>
          <t>Água, Gás e Energia Elétrica</t>
        </is>
      </c>
      <c r="DH142">
        <f>IFERROR(CHOOSE(MATCH($DG$6,{"Ano Completo","1º Semestre","2º Semestre","1º Trimestre","2º Trimestre","3º Trimestre","4º Trimestre"},0),SUM(DI142:DT142),SUM(DI142:DN142),SUM(DO142:DT142),SUM(DI142:DK142),SUM(DL142:DN142),SUM(DO142:DQ142),SUM(DR142:DT142)),0)</f>
        <v/>
      </c>
      <c r="DI142" t="n">
        <v>10212</v>
      </c>
      <c r="DJ142" t="n">
        <v>13198</v>
      </c>
      <c r="DK142" t="n">
        <v>17176</v>
      </c>
      <c r="DL142" t="n">
        <v>8983</v>
      </c>
      <c r="DM142" t="n">
        <v>5756</v>
      </c>
      <c r="DN142" t="n">
        <v>10026</v>
      </c>
      <c r="DO142" t="n">
        <v>3219</v>
      </c>
      <c r="DP142" t="n">
        <v>16367</v>
      </c>
      <c r="DQ142" t="n">
        <v>15570</v>
      </c>
      <c r="DR142" t="n">
        <v>1932</v>
      </c>
      <c r="DS142" t="n">
        <v>19357</v>
      </c>
      <c r="DT142" t="n">
        <v>15889</v>
      </c>
      <c r="DV142" t="inlineStr">
        <is>
          <t>Água, Gás e Energia Elétrica</t>
        </is>
      </c>
      <c r="DW142">
        <f>IFERROR(CHOOSE(MATCH($DV$6,{"Ano Completo","1º Semestre","2º Semestre","1º Trimestre","2º Trimestre","3º Trimestre","4º Trimestre"},0),SUM(DX142:EI142),SUM(DX142:EC142),SUM(ED142:EI142),SUM(DX142:DZ142),SUM(EA142:EC142),SUM(ED142:EF142),SUM(EG142:EI142)),0)</f>
        <v/>
      </c>
      <c r="DX142" t="n">
        <v>18247</v>
      </c>
      <c r="DY142" t="n">
        <v>7525</v>
      </c>
      <c r="DZ142" t="n">
        <v>17905</v>
      </c>
      <c r="EA142" t="n">
        <v>7579</v>
      </c>
      <c r="EB142" t="n">
        <v>14447</v>
      </c>
      <c r="EC142" t="n">
        <v>13806</v>
      </c>
      <c r="ED142" t="n">
        <v>12205</v>
      </c>
      <c r="EE142" t="n">
        <v>8090</v>
      </c>
      <c r="EF142" t="n">
        <v>13690</v>
      </c>
      <c r="EG142" t="n">
        <v>14584</v>
      </c>
      <c r="EH142" t="n">
        <v>16871</v>
      </c>
      <c r="EI142" t="n">
        <v>10133</v>
      </c>
      <c r="EL142" t="inlineStr">
        <is>
          <t>Água, Gás e Energia Elétrica</t>
        </is>
      </c>
      <c r="EM142">
        <f>IFERROR(CHOOSE(MATCH($EL$6,{"Ano Completo","1º Semestre","2º Semestre","1º Trimestre","2º Trimestre","3º Trimestre","4º Trimestre"},0),SUM(EN142:EY142),SUM(EN142:ES142),SUM(ET142:EY142),SUM(EN142:EP142),SUM(EQ142:ES142),SUM(ET142:EV142),SUM(EW142:EY142)),0)</f>
        <v/>
      </c>
      <c r="EN142" t="n">
        <v>10212</v>
      </c>
      <c r="EO142" t="n">
        <v>13198</v>
      </c>
      <c r="EP142" t="n">
        <v>17176</v>
      </c>
      <c r="EQ142" t="n">
        <v>8983</v>
      </c>
      <c r="ER142" t="n">
        <v>5756</v>
      </c>
      <c r="ES142" t="n">
        <v>10026</v>
      </c>
      <c r="ET142" t="n">
        <v>3219</v>
      </c>
      <c r="EU142" t="n">
        <v>16367</v>
      </c>
      <c r="EV142" t="n">
        <v>15570</v>
      </c>
      <c r="EW142" t="n">
        <v>1932</v>
      </c>
      <c r="EX142" t="n">
        <v>19357</v>
      </c>
      <c r="EY142" t="n">
        <v>15889</v>
      </c>
    </row>
    <row r="143">
      <c r="B143" t="inlineStr">
        <is>
          <t>Aluguéis de Imóveis, Condomínio</t>
        </is>
      </c>
      <c r="C143">
        <f>IFERROR(CHOOSE(MATCH($B$6,{"Ano Completo","1º Semestre","2º Semestre","1º Trimestre","2º Trimestre","3º Trimestre","4º Trimestre"},0),SUM(D143:O143),SUM(D143:I143),SUM(J143:O143),SUM(D143:F143),SUM(G143:I143),SUM(J143:L143),SUM(M143:O143)),0)</f>
        <v/>
      </c>
      <c r="R143" t="inlineStr">
        <is>
          <t>Aluguéis de Imóveis, Condomínio</t>
        </is>
      </c>
      <c r="S143">
        <f>IFERROR(CHOOSE(MATCH($R$6,{"Ano Completo","1º Semestre","2º Semestre","1º Trimestre","2º Trimestre","3º Trimestre","4º Trimestre"},0),SUM(T143:AE143),SUM(T143:Y143),SUM(Z143:AE143),SUM(T143:V143),SUM(W143:Y143),SUM(Z143:AB143),SUM(AC143:AE143)),0)</f>
        <v/>
      </c>
      <c r="AG143" t="inlineStr">
        <is>
          <t>Aluguéis de Imóveis, Condomínio</t>
        </is>
      </c>
      <c r="AH143">
        <f>IFERROR(CHOOSE(MATCH($AG$6,{"Ano Completo","1º Semestre","2º Semestre","1º Trimestre","2º Trimestre","3º Trimestre","4º Trimestre"},0),SUM(AI143:AT143),SUM(AI143:AN143),SUM(AO143:AT143),SUM(AI143:AK143),SUM(AL143:AN143),SUM(AO143:AQ143),SUM(AR143:AT143)),0)</f>
        <v/>
      </c>
      <c r="AI143" t="n">
        <v>15104</v>
      </c>
      <c r="AJ143" t="n">
        <v>17700</v>
      </c>
      <c r="AK143" t="n">
        <v>4711</v>
      </c>
      <c r="AL143" t="n">
        <v>11709</v>
      </c>
      <c r="AM143" t="n">
        <v>19190</v>
      </c>
      <c r="AN143" t="n">
        <v>5352</v>
      </c>
      <c r="AO143" t="n">
        <v>3496</v>
      </c>
      <c r="AP143" t="n">
        <v>12273</v>
      </c>
      <c r="AQ143" t="n">
        <v>17822</v>
      </c>
      <c r="AR143" t="n">
        <v>18407</v>
      </c>
      <c r="AS143" t="n">
        <v>16668</v>
      </c>
      <c r="AT143" t="n">
        <v>9752</v>
      </c>
      <c r="AW143" t="inlineStr">
        <is>
          <t>Aluguéis de Imóveis, Condomínio</t>
        </is>
      </c>
      <c r="AX143">
        <f>IFERROR(CHOOSE(MATCH($AW$6,{"Ano Completo","1º Semestre","2º Semestre","1º Trimestre","2º Trimestre","3º Trimestre","4º Trimestre"},0),SUM(AY143:BJ143),SUM(AY143:BD143),SUM(BE143:BJ143),SUM(AY143:BA143),SUM(BB143:BD143),SUM(BE143:BG143),SUM(BH143:BJ143)),0)</f>
        <v/>
      </c>
      <c r="AY143" t="n">
        <v>7607</v>
      </c>
      <c r="AZ143" t="n">
        <v>7372</v>
      </c>
      <c r="BA143" t="n">
        <v>11475</v>
      </c>
      <c r="BB143" t="n">
        <v>8559</v>
      </c>
      <c r="BC143" t="n">
        <v>18777</v>
      </c>
      <c r="BD143" t="n">
        <v>8023</v>
      </c>
      <c r="BE143" t="n">
        <v>7881</v>
      </c>
      <c r="BF143" t="n">
        <v>10749</v>
      </c>
      <c r="BG143" t="n">
        <v>1628</v>
      </c>
      <c r="BH143" t="n">
        <v>16897</v>
      </c>
      <c r="BI143" t="n">
        <v>1161</v>
      </c>
      <c r="BJ143" t="n">
        <v>11431</v>
      </c>
      <c r="BL143" t="inlineStr">
        <is>
          <t>Aluguéis de Imóveis, Condomínio</t>
        </is>
      </c>
      <c r="BM143">
        <f>IFERROR(CHOOSE(MATCH($BL$6,{"Ano Completo","1º Semestre","2º Semestre","1º Trimestre","2º Trimestre","3º Trimestre","4º Trimestre"},0),SUM(BN143:BY143),SUM(BN143:BS143),SUM(BT143:BY143),SUM(BN143:BP143),SUM(BQ143:BS143),SUM(BT143:BV143),SUM(BW143:BY143)),0)</f>
        <v/>
      </c>
      <c r="BN143" t="n">
        <v>15104</v>
      </c>
      <c r="BO143" t="n">
        <v>17700</v>
      </c>
      <c r="BP143" t="n">
        <v>4711</v>
      </c>
      <c r="BQ143" t="n">
        <v>11709</v>
      </c>
      <c r="BR143" t="n">
        <v>19190</v>
      </c>
      <c r="BS143" t="n">
        <v>5352</v>
      </c>
      <c r="BT143" t="n">
        <v>3496</v>
      </c>
      <c r="BU143" t="n">
        <v>12273</v>
      </c>
      <c r="BV143" t="n">
        <v>17822</v>
      </c>
      <c r="BW143" t="n">
        <v>18407</v>
      </c>
      <c r="BX143" t="n">
        <v>16668</v>
      </c>
      <c r="BY143" t="n">
        <v>9752</v>
      </c>
      <c r="CB143" t="inlineStr">
        <is>
          <t>Aluguéis de Imóveis, Condomínio</t>
        </is>
      </c>
      <c r="CC143">
        <f>IFERROR(CHOOSE(MATCH($CB$6,{"Ano Completo","1º Semestre","2º Semestre","1º Trimestre","2º Trimestre","3º Trimestre","4º Trimestre"},0),SUM(CD143:CO143),SUM(CD143:CI143),SUM(CJ143:CO143),SUM(CD143:CF143),SUM(CG143:CI143),SUM(CJ143:CL143),SUM(CM143:CO143)),0)</f>
        <v/>
      </c>
      <c r="CD143" t="n">
        <v>7607</v>
      </c>
      <c r="CE143" t="n">
        <v>7372</v>
      </c>
      <c r="CF143" t="n">
        <v>11475</v>
      </c>
      <c r="CG143" t="n">
        <v>8559</v>
      </c>
      <c r="CH143" t="n">
        <v>18777</v>
      </c>
      <c r="CI143" t="n">
        <v>8023</v>
      </c>
      <c r="CJ143" t="n">
        <v>7881</v>
      </c>
      <c r="CK143" t="n">
        <v>10749</v>
      </c>
      <c r="CL143" t="n">
        <v>1628</v>
      </c>
      <c r="CM143" t="n">
        <v>16897</v>
      </c>
      <c r="CN143" t="n">
        <v>1161</v>
      </c>
      <c r="CO143" t="n">
        <v>11431</v>
      </c>
      <c r="CQ143" t="inlineStr">
        <is>
          <t>Aluguéis de Imóveis, Condomínio</t>
        </is>
      </c>
      <c r="CR143">
        <f>IFERROR(CHOOSE(MATCH($CQ$6,{"Ano Completo","1º Semestre","2º Semestre","1º Trimestre","2º Trimestre","3º Trimestre","4º Trimestre"},0),SUM(CS143:DD143),SUM(CS143:CX143),SUM(CY143:DD143),SUM(CS143:CU143),SUM(CV143:CX143),SUM(CY143:DA143),SUM(DB143:DD143)),0)</f>
        <v/>
      </c>
      <c r="CS143" t="n">
        <v>15104</v>
      </c>
      <c r="CT143" t="n">
        <v>17700</v>
      </c>
      <c r="CU143" t="n">
        <v>4711</v>
      </c>
      <c r="CV143" t="n">
        <v>11709</v>
      </c>
      <c r="CW143" t="n">
        <v>19190</v>
      </c>
      <c r="CX143" t="n">
        <v>5352</v>
      </c>
      <c r="CY143" t="n">
        <v>3496</v>
      </c>
      <c r="CZ143" t="n">
        <v>12273</v>
      </c>
      <c r="DA143" t="n">
        <v>17822</v>
      </c>
      <c r="DB143" t="n">
        <v>18407</v>
      </c>
      <c r="DC143" t="n">
        <v>16668</v>
      </c>
      <c r="DD143" t="n">
        <v>9752</v>
      </c>
      <c r="DG143" t="inlineStr">
        <is>
          <t>Aluguéis de Imóveis, Condomínio</t>
        </is>
      </c>
      <c r="DH143">
        <f>IFERROR(CHOOSE(MATCH($DG$6,{"Ano Completo","1º Semestre","2º Semestre","1º Trimestre","2º Trimestre","3º Trimestre","4º Trimestre"},0),SUM(DI143:DT143),SUM(DI143:DN143),SUM(DO143:DT143),SUM(DI143:DK143),SUM(DL143:DN143),SUM(DO143:DQ143),SUM(DR143:DT143)),0)</f>
        <v/>
      </c>
      <c r="DI143" t="n">
        <v>7607</v>
      </c>
      <c r="DJ143" t="n">
        <v>7372</v>
      </c>
      <c r="DK143" t="n">
        <v>11475</v>
      </c>
      <c r="DL143" t="n">
        <v>8559</v>
      </c>
      <c r="DM143" t="n">
        <v>18777</v>
      </c>
      <c r="DN143" t="n">
        <v>8023</v>
      </c>
      <c r="DO143" t="n">
        <v>7881</v>
      </c>
      <c r="DP143" t="n">
        <v>10749</v>
      </c>
      <c r="DQ143" t="n">
        <v>1628</v>
      </c>
      <c r="DR143" t="n">
        <v>16897</v>
      </c>
      <c r="DS143" t="n">
        <v>1161</v>
      </c>
      <c r="DT143" t="n">
        <v>11431</v>
      </c>
      <c r="DV143" t="inlineStr">
        <is>
          <t>Aluguéis de Imóveis, Condomínio</t>
        </is>
      </c>
      <c r="DW143">
        <f>IFERROR(CHOOSE(MATCH($DV$6,{"Ano Completo","1º Semestre","2º Semestre","1º Trimestre","2º Trimestre","3º Trimestre","4º Trimestre"},0),SUM(DX143:EI143),SUM(DX143:EC143),SUM(ED143:EI143),SUM(DX143:DZ143),SUM(EA143:EC143),SUM(ED143:EF143),SUM(EG143:EI143)),0)</f>
        <v/>
      </c>
      <c r="DX143" t="n">
        <v>15104</v>
      </c>
      <c r="DY143" t="n">
        <v>17700</v>
      </c>
      <c r="DZ143" t="n">
        <v>4711</v>
      </c>
      <c r="EA143" t="n">
        <v>11709</v>
      </c>
      <c r="EB143" t="n">
        <v>19190</v>
      </c>
      <c r="EC143" t="n">
        <v>5352</v>
      </c>
      <c r="ED143" t="n">
        <v>3496</v>
      </c>
      <c r="EE143" t="n">
        <v>12273</v>
      </c>
      <c r="EF143" t="n">
        <v>17822</v>
      </c>
      <c r="EG143" t="n">
        <v>18407</v>
      </c>
      <c r="EH143" t="n">
        <v>16668</v>
      </c>
      <c r="EI143" t="n">
        <v>9752</v>
      </c>
      <c r="EL143" t="inlineStr">
        <is>
          <t>Aluguéis de Imóveis, Condomínio</t>
        </is>
      </c>
      <c r="EM143">
        <f>IFERROR(CHOOSE(MATCH($EL$6,{"Ano Completo","1º Semestre","2º Semestre","1º Trimestre","2º Trimestre","3º Trimestre","4º Trimestre"},0),SUM(EN143:EY143),SUM(EN143:ES143),SUM(ET143:EY143),SUM(EN143:EP143),SUM(EQ143:ES143),SUM(ET143:EV143),SUM(EW143:EY143)),0)</f>
        <v/>
      </c>
      <c r="EN143" t="n">
        <v>7607</v>
      </c>
      <c r="EO143" t="n">
        <v>7372</v>
      </c>
      <c r="EP143" t="n">
        <v>11475</v>
      </c>
      <c r="EQ143" t="n">
        <v>8559</v>
      </c>
      <c r="ER143" t="n">
        <v>18777</v>
      </c>
      <c r="ES143" t="n">
        <v>8023</v>
      </c>
      <c r="ET143" t="n">
        <v>7881</v>
      </c>
      <c r="EU143" t="n">
        <v>10749</v>
      </c>
      <c r="EV143" t="n">
        <v>1628</v>
      </c>
      <c r="EW143" t="n">
        <v>16897</v>
      </c>
      <c r="EX143" t="n">
        <v>1161</v>
      </c>
      <c r="EY143" t="n">
        <v>11431</v>
      </c>
    </row>
    <row r="144">
      <c r="B144" t="inlineStr">
        <is>
          <t>Bens Periféricos</t>
        </is>
      </c>
      <c r="C144">
        <f>IFERROR(CHOOSE(MATCH($B$6,{"Ano Completo","1º Semestre","2º Semestre","1º Trimestre","2º Trimestre","3º Trimestre","4º Trimestre"},0),SUM(D144:O144),SUM(D144:I144),SUM(J144:O144),SUM(D144:F144),SUM(G144:I144),SUM(J144:L144),SUM(M144:O144)),0)</f>
        <v/>
      </c>
      <c r="R144" t="inlineStr">
        <is>
          <t>Bens Periféricos</t>
        </is>
      </c>
      <c r="S144">
        <f>IFERROR(CHOOSE(MATCH($R$6,{"Ano Completo","1º Semestre","2º Semestre","1º Trimestre","2º Trimestre","3º Trimestre","4º Trimestre"},0),SUM(T144:AE144),SUM(T144:Y144),SUM(Z144:AE144),SUM(T144:V144),SUM(W144:Y144),SUM(Z144:AB144),SUM(AC144:AE144)),0)</f>
        <v/>
      </c>
      <c r="AG144" t="inlineStr">
        <is>
          <t>Bens Periféricos</t>
        </is>
      </c>
      <c r="AH144">
        <f>IFERROR(CHOOSE(MATCH($AG$6,{"Ano Completo","1º Semestre","2º Semestre","1º Trimestre","2º Trimestre","3º Trimestre","4º Trimestre"},0),SUM(AI144:AT144),SUM(AI144:AN144),SUM(AO144:AT144),SUM(AI144:AK144),SUM(AL144:AN144),SUM(AO144:AQ144),SUM(AR144:AT144)),0)</f>
        <v/>
      </c>
      <c r="AI144" t="n">
        <v>10293</v>
      </c>
      <c r="AJ144" t="n">
        <v>17047</v>
      </c>
      <c r="AK144" t="n">
        <v>2549</v>
      </c>
      <c r="AL144" t="n">
        <v>1054</v>
      </c>
      <c r="AM144" t="n">
        <v>11710</v>
      </c>
      <c r="AN144" t="n">
        <v>5698</v>
      </c>
      <c r="AO144" t="n">
        <v>7929</v>
      </c>
      <c r="AP144" t="n">
        <v>5702</v>
      </c>
      <c r="AQ144" t="n">
        <v>8021</v>
      </c>
      <c r="AR144" t="n">
        <v>2567</v>
      </c>
      <c r="AS144" t="n">
        <v>3032</v>
      </c>
      <c r="AT144" t="n">
        <v>6434</v>
      </c>
      <c r="AW144" t="inlineStr">
        <is>
          <t>Bens Periféricos</t>
        </is>
      </c>
      <c r="AX144">
        <f>IFERROR(CHOOSE(MATCH($AW$6,{"Ano Completo","1º Semestre","2º Semestre","1º Trimestre","2º Trimestre","3º Trimestre","4º Trimestre"},0),SUM(AY144:BJ144),SUM(AY144:BD144),SUM(BE144:BJ144),SUM(AY144:BA144),SUM(BB144:BD144),SUM(BE144:BG144),SUM(BH144:BJ144)),0)</f>
        <v/>
      </c>
      <c r="AY144" t="n">
        <v>8482</v>
      </c>
      <c r="AZ144" t="n">
        <v>5124</v>
      </c>
      <c r="BA144" t="n">
        <v>1493</v>
      </c>
      <c r="BB144" t="n">
        <v>14115</v>
      </c>
      <c r="BC144" t="n">
        <v>13476</v>
      </c>
      <c r="BD144" t="n">
        <v>2338</v>
      </c>
      <c r="BE144" t="n">
        <v>10133</v>
      </c>
      <c r="BF144" t="n">
        <v>14655</v>
      </c>
      <c r="BG144" t="n">
        <v>13891</v>
      </c>
      <c r="BH144" t="n">
        <v>18856</v>
      </c>
      <c r="BI144" t="n">
        <v>3204</v>
      </c>
      <c r="BJ144" t="n">
        <v>17576</v>
      </c>
      <c r="BL144" t="inlineStr">
        <is>
          <t>Bens Periféricos</t>
        </is>
      </c>
      <c r="BM144">
        <f>IFERROR(CHOOSE(MATCH($BL$6,{"Ano Completo","1º Semestre","2º Semestre","1º Trimestre","2º Trimestre","3º Trimestre","4º Trimestre"},0),SUM(BN144:BY144),SUM(BN144:BS144),SUM(BT144:BY144),SUM(BN144:BP144),SUM(BQ144:BS144),SUM(BT144:BV144),SUM(BW144:BY144)),0)</f>
        <v/>
      </c>
      <c r="BN144" t="n">
        <v>10293</v>
      </c>
      <c r="BO144" t="n">
        <v>17047</v>
      </c>
      <c r="BP144" t="n">
        <v>2549</v>
      </c>
      <c r="BQ144" t="n">
        <v>1054</v>
      </c>
      <c r="BR144" t="n">
        <v>11710</v>
      </c>
      <c r="BS144" t="n">
        <v>5698</v>
      </c>
      <c r="BT144" t="n">
        <v>7929</v>
      </c>
      <c r="BU144" t="n">
        <v>5702</v>
      </c>
      <c r="BV144" t="n">
        <v>8021</v>
      </c>
      <c r="BW144" t="n">
        <v>2567</v>
      </c>
      <c r="BX144" t="n">
        <v>3032</v>
      </c>
      <c r="BY144" t="n">
        <v>6434</v>
      </c>
      <c r="CB144" t="inlineStr">
        <is>
          <t>Bens Periféricos</t>
        </is>
      </c>
      <c r="CC144">
        <f>IFERROR(CHOOSE(MATCH($CB$6,{"Ano Completo","1º Semestre","2º Semestre","1º Trimestre","2º Trimestre","3º Trimestre","4º Trimestre"},0),SUM(CD144:CO144),SUM(CD144:CI144),SUM(CJ144:CO144),SUM(CD144:CF144),SUM(CG144:CI144),SUM(CJ144:CL144),SUM(CM144:CO144)),0)</f>
        <v/>
      </c>
      <c r="CD144" t="n">
        <v>8482</v>
      </c>
      <c r="CE144" t="n">
        <v>5124</v>
      </c>
      <c r="CF144" t="n">
        <v>1493</v>
      </c>
      <c r="CG144" t="n">
        <v>14115</v>
      </c>
      <c r="CH144" t="n">
        <v>13476</v>
      </c>
      <c r="CI144" t="n">
        <v>2338</v>
      </c>
      <c r="CJ144" t="n">
        <v>10133</v>
      </c>
      <c r="CK144" t="n">
        <v>14655</v>
      </c>
      <c r="CL144" t="n">
        <v>13891</v>
      </c>
      <c r="CM144" t="n">
        <v>18856</v>
      </c>
      <c r="CN144" t="n">
        <v>3204</v>
      </c>
      <c r="CO144" t="n">
        <v>17576</v>
      </c>
      <c r="CQ144" t="inlineStr">
        <is>
          <t>Bens Periféricos</t>
        </is>
      </c>
      <c r="CR144">
        <f>IFERROR(CHOOSE(MATCH($CQ$6,{"Ano Completo","1º Semestre","2º Semestre","1º Trimestre","2º Trimestre","3º Trimestre","4º Trimestre"},0),SUM(CS144:DD144),SUM(CS144:CX144),SUM(CY144:DD144),SUM(CS144:CU144),SUM(CV144:CX144),SUM(CY144:DA144),SUM(DB144:DD144)),0)</f>
        <v/>
      </c>
      <c r="CS144" t="n">
        <v>10293</v>
      </c>
      <c r="CT144" t="n">
        <v>17047</v>
      </c>
      <c r="CU144" t="n">
        <v>2549</v>
      </c>
      <c r="CV144" t="n">
        <v>1054</v>
      </c>
      <c r="CW144" t="n">
        <v>11710</v>
      </c>
      <c r="CX144" t="n">
        <v>5698</v>
      </c>
      <c r="CY144" t="n">
        <v>7929</v>
      </c>
      <c r="CZ144" t="n">
        <v>5702</v>
      </c>
      <c r="DA144" t="n">
        <v>8021</v>
      </c>
      <c r="DB144" t="n">
        <v>2567</v>
      </c>
      <c r="DC144" t="n">
        <v>3032</v>
      </c>
      <c r="DD144" t="n">
        <v>6434</v>
      </c>
      <c r="DG144" t="inlineStr">
        <is>
          <t>Bens Periféricos</t>
        </is>
      </c>
      <c r="DH144">
        <f>IFERROR(CHOOSE(MATCH($DG$6,{"Ano Completo","1º Semestre","2º Semestre","1º Trimestre","2º Trimestre","3º Trimestre","4º Trimestre"},0),SUM(DI144:DT144),SUM(DI144:DN144),SUM(DO144:DT144),SUM(DI144:DK144),SUM(DL144:DN144),SUM(DO144:DQ144),SUM(DR144:DT144)),0)</f>
        <v/>
      </c>
      <c r="DI144" t="n">
        <v>8482</v>
      </c>
      <c r="DJ144" t="n">
        <v>5124</v>
      </c>
      <c r="DK144" t="n">
        <v>1493</v>
      </c>
      <c r="DL144" t="n">
        <v>14115</v>
      </c>
      <c r="DM144" t="n">
        <v>13476</v>
      </c>
      <c r="DN144" t="n">
        <v>2338</v>
      </c>
      <c r="DO144" t="n">
        <v>10133</v>
      </c>
      <c r="DP144" t="n">
        <v>14655</v>
      </c>
      <c r="DQ144" t="n">
        <v>13891</v>
      </c>
      <c r="DR144" t="n">
        <v>18856</v>
      </c>
      <c r="DS144" t="n">
        <v>3204</v>
      </c>
      <c r="DT144" t="n">
        <v>17576</v>
      </c>
      <c r="DV144" t="inlineStr">
        <is>
          <t>Bens Periféricos</t>
        </is>
      </c>
      <c r="DW144">
        <f>IFERROR(CHOOSE(MATCH($DV$6,{"Ano Completo","1º Semestre","2º Semestre","1º Trimestre","2º Trimestre","3º Trimestre","4º Trimestre"},0),SUM(DX144:EI144),SUM(DX144:EC144),SUM(ED144:EI144),SUM(DX144:DZ144),SUM(EA144:EC144),SUM(ED144:EF144),SUM(EG144:EI144)),0)</f>
        <v/>
      </c>
      <c r="DX144" t="n">
        <v>10293</v>
      </c>
      <c r="DY144" t="n">
        <v>17047</v>
      </c>
      <c r="DZ144" t="n">
        <v>2549</v>
      </c>
      <c r="EA144" t="n">
        <v>1054</v>
      </c>
      <c r="EB144" t="n">
        <v>11710</v>
      </c>
      <c r="EC144" t="n">
        <v>5698</v>
      </c>
      <c r="ED144" t="n">
        <v>7929</v>
      </c>
      <c r="EE144" t="n">
        <v>5702</v>
      </c>
      <c r="EF144" t="n">
        <v>8021</v>
      </c>
      <c r="EG144" t="n">
        <v>2567</v>
      </c>
      <c r="EH144" t="n">
        <v>3032</v>
      </c>
      <c r="EI144" t="n">
        <v>6434</v>
      </c>
      <c r="EL144" t="inlineStr">
        <is>
          <t>Bens Periféricos</t>
        </is>
      </c>
      <c r="EM144">
        <f>IFERROR(CHOOSE(MATCH($EL$6,{"Ano Completo","1º Semestre","2º Semestre","1º Trimestre","2º Trimestre","3º Trimestre","4º Trimestre"},0),SUM(EN144:EY144),SUM(EN144:ES144),SUM(ET144:EY144),SUM(EN144:EP144),SUM(EQ144:ES144),SUM(ET144:EV144),SUM(EW144:EY144)),0)</f>
        <v/>
      </c>
      <c r="EN144" t="n">
        <v>8482</v>
      </c>
      <c r="EO144" t="n">
        <v>5124</v>
      </c>
      <c r="EP144" t="n">
        <v>1493</v>
      </c>
      <c r="EQ144" t="n">
        <v>14115</v>
      </c>
      <c r="ER144" t="n">
        <v>13476</v>
      </c>
      <c r="ES144" t="n">
        <v>2338</v>
      </c>
      <c r="ET144" t="n">
        <v>10133</v>
      </c>
      <c r="EU144" t="n">
        <v>14655</v>
      </c>
      <c r="EV144" t="n">
        <v>13891</v>
      </c>
      <c r="EW144" t="n">
        <v>18856</v>
      </c>
      <c r="EX144" t="n">
        <v>3204</v>
      </c>
      <c r="EY144" t="n">
        <v>17576</v>
      </c>
    </row>
    <row r="145">
      <c r="B145" t="inlineStr">
        <is>
          <t>Conservação, Limpza, Copa, Cozinha, Segurança</t>
        </is>
      </c>
      <c r="C145">
        <f>IFERROR(CHOOSE(MATCH($B$6,{"Ano Completo","1º Semestre","2º Semestre","1º Trimestre","2º Trimestre","3º Trimestre","4º Trimestre"},0),SUM(D145:O145),SUM(D145:I145),SUM(J145:O145),SUM(D145:F145),SUM(G145:I145),SUM(J145:L145),SUM(M145:O145)),0)</f>
        <v/>
      </c>
      <c r="R145" t="inlineStr">
        <is>
          <t>Conservação, Limpza, Copa, Cozinha, Segurança</t>
        </is>
      </c>
      <c r="S145">
        <f>IFERROR(CHOOSE(MATCH($R$6,{"Ano Completo","1º Semestre","2º Semestre","1º Trimestre","2º Trimestre","3º Trimestre","4º Trimestre"},0),SUM(T145:AE145),SUM(T145:Y145),SUM(Z145:AE145),SUM(T145:V145),SUM(W145:Y145),SUM(Z145:AB145),SUM(AC145:AE145)),0)</f>
        <v/>
      </c>
      <c r="AG145" t="inlineStr">
        <is>
          <t>Conservação, Limpza, Copa, Cozinha, Segurança</t>
        </is>
      </c>
      <c r="AH145">
        <f>IFERROR(CHOOSE(MATCH($AG$6,{"Ano Completo","1º Semestre","2º Semestre","1º Trimestre","2º Trimestre","3º Trimestre","4º Trimestre"},0),SUM(AI145:AT145),SUM(AI145:AN145),SUM(AO145:AT145),SUM(AI145:AK145),SUM(AL145:AN145),SUM(AO145:AQ145),SUM(AR145:AT145)),0)</f>
        <v/>
      </c>
      <c r="AI145" t="n">
        <v>17004</v>
      </c>
      <c r="AJ145" t="n">
        <v>17296</v>
      </c>
      <c r="AK145" t="n">
        <v>17329</v>
      </c>
      <c r="AL145" t="n">
        <v>12289</v>
      </c>
      <c r="AM145" t="n">
        <v>11947</v>
      </c>
      <c r="AN145" t="n">
        <v>11487</v>
      </c>
      <c r="AO145" t="n">
        <v>8629</v>
      </c>
      <c r="AP145" t="n">
        <v>11849</v>
      </c>
      <c r="AQ145" t="n">
        <v>19687</v>
      </c>
      <c r="AR145" t="n">
        <v>6537</v>
      </c>
      <c r="AS145" t="n">
        <v>1274</v>
      </c>
      <c r="AT145" t="n">
        <v>10029</v>
      </c>
      <c r="AW145" t="inlineStr">
        <is>
          <t>Conservação, Limpza, Copa, Cozinha, Segurança</t>
        </is>
      </c>
      <c r="AX145">
        <f>IFERROR(CHOOSE(MATCH($AW$6,{"Ano Completo","1º Semestre","2º Semestre","1º Trimestre","2º Trimestre","3º Trimestre","4º Trimestre"},0),SUM(AY145:BJ145),SUM(AY145:BD145),SUM(BE145:BJ145),SUM(AY145:BA145),SUM(BB145:BD145),SUM(BE145:BG145),SUM(BH145:BJ145)),0)</f>
        <v/>
      </c>
      <c r="AY145" t="n">
        <v>4398</v>
      </c>
      <c r="AZ145" t="n">
        <v>11788</v>
      </c>
      <c r="BA145" t="n">
        <v>3669</v>
      </c>
      <c r="BB145" t="n">
        <v>7399</v>
      </c>
      <c r="BC145" t="n">
        <v>17546</v>
      </c>
      <c r="BD145" t="n">
        <v>15993</v>
      </c>
      <c r="BE145" t="n">
        <v>10005</v>
      </c>
      <c r="BF145" t="n">
        <v>12135</v>
      </c>
      <c r="BG145" t="n">
        <v>7829</v>
      </c>
      <c r="BH145" t="n">
        <v>15961</v>
      </c>
      <c r="BI145" t="n">
        <v>13483</v>
      </c>
      <c r="BJ145" t="n">
        <v>13975</v>
      </c>
      <c r="BL145" t="inlineStr">
        <is>
          <t>Conservação, Limpza, Copa, Cozinha, Segurança</t>
        </is>
      </c>
      <c r="BM145">
        <f>IFERROR(CHOOSE(MATCH($BL$6,{"Ano Completo","1º Semestre","2º Semestre","1º Trimestre","2º Trimestre","3º Trimestre","4º Trimestre"},0),SUM(BN145:BY145),SUM(BN145:BS145),SUM(BT145:BY145),SUM(BN145:BP145),SUM(BQ145:BS145),SUM(BT145:BV145),SUM(BW145:BY145)),0)</f>
        <v/>
      </c>
      <c r="BN145" t="n">
        <v>17004</v>
      </c>
      <c r="BO145" t="n">
        <v>17296</v>
      </c>
      <c r="BP145" t="n">
        <v>17329</v>
      </c>
      <c r="BQ145" t="n">
        <v>12289</v>
      </c>
      <c r="BR145" t="n">
        <v>11947</v>
      </c>
      <c r="BS145" t="n">
        <v>11487</v>
      </c>
      <c r="BT145" t="n">
        <v>8629</v>
      </c>
      <c r="BU145" t="n">
        <v>11849</v>
      </c>
      <c r="BV145" t="n">
        <v>19687</v>
      </c>
      <c r="BW145" t="n">
        <v>6537</v>
      </c>
      <c r="BX145" t="n">
        <v>1274</v>
      </c>
      <c r="BY145" t="n">
        <v>10029</v>
      </c>
      <c r="CB145" t="inlineStr">
        <is>
          <t>Conservação, Limpza, Copa, Cozinha, Segurança</t>
        </is>
      </c>
      <c r="CC145">
        <f>IFERROR(CHOOSE(MATCH($CB$6,{"Ano Completo","1º Semestre","2º Semestre","1º Trimestre","2º Trimestre","3º Trimestre","4º Trimestre"},0),SUM(CD145:CO145),SUM(CD145:CI145),SUM(CJ145:CO145),SUM(CD145:CF145),SUM(CG145:CI145),SUM(CJ145:CL145),SUM(CM145:CO145)),0)</f>
        <v/>
      </c>
      <c r="CD145" t="n">
        <v>4398</v>
      </c>
      <c r="CE145" t="n">
        <v>11788</v>
      </c>
      <c r="CF145" t="n">
        <v>3669</v>
      </c>
      <c r="CG145" t="n">
        <v>7399</v>
      </c>
      <c r="CH145" t="n">
        <v>17546</v>
      </c>
      <c r="CI145" t="n">
        <v>15993</v>
      </c>
      <c r="CJ145" t="n">
        <v>10005</v>
      </c>
      <c r="CK145" t="n">
        <v>12135</v>
      </c>
      <c r="CL145" t="n">
        <v>7829</v>
      </c>
      <c r="CM145" t="n">
        <v>15961</v>
      </c>
      <c r="CN145" t="n">
        <v>13483</v>
      </c>
      <c r="CO145" t="n">
        <v>13975</v>
      </c>
      <c r="CQ145" t="inlineStr">
        <is>
          <t>Conservação, Limpza, Copa, Cozinha, Segurança</t>
        </is>
      </c>
      <c r="CR145">
        <f>IFERROR(CHOOSE(MATCH($CQ$6,{"Ano Completo","1º Semestre","2º Semestre","1º Trimestre","2º Trimestre","3º Trimestre","4º Trimestre"},0),SUM(CS145:DD145),SUM(CS145:CX145),SUM(CY145:DD145),SUM(CS145:CU145),SUM(CV145:CX145),SUM(CY145:DA145),SUM(DB145:DD145)),0)</f>
        <v/>
      </c>
      <c r="CS145" t="n">
        <v>17004</v>
      </c>
      <c r="CT145" t="n">
        <v>17296</v>
      </c>
      <c r="CU145" t="n">
        <v>17329</v>
      </c>
      <c r="CV145" t="n">
        <v>12289</v>
      </c>
      <c r="CW145" t="n">
        <v>11947</v>
      </c>
      <c r="CX145" t="n">
        <v>11487</v>
      </c>
      <c r="CY145" t="n">
        <v>8629</v>
      </c>
      <c r="CZ145" t="n">
        <v>11849</v>
      </c>
      <c r="DA145" t="n">
        <v>19687</v>
      </c>
      <c r="DB145" t="n">
        <v>6537</v>
      </c>
      <c r="DC145" t="n">
        <v>1274</v>
      </c>
      <c r="DD145" t="n">
        <v>10029</v>
      </c>
      <c r="DG145" t="inlineStr">
        <is>
          <t>Conservação, Limpza, Copa, Cozinha, Segurança</t>
        </is>
      </c>
      <c r="DH145">
        <f>IFERROR(CHOOSE(MATCH($DG$6,{"Ano Completo","1º Semestre","2º Semestre","1º Trimestre","2º Trimestre","3º Trimestre","4º Trimestre"},0),SUM(DI145:DT145),SUM(DI145:DN145),SUM(DO145:DT145),SUM(DI145:DK145),SUM(DL145:DN145),SUM(DO145:DQ145),SUM(DR145:DT145)),0)</f>
        <v/>
      </c>
      <c r="DI145" t="n">
        <v>4398</v>
      </c>
      <c r="DJ145" t="n">
        <v>11788</v>
      </c>
      <c r="DK145" t="n">
        <v>3669</v>
      </c>
      <c r="DL145" t="n">
        <v>7399</v>
      </c>
      <c r="DM145" t="n">
        <v>17546</v>
      </c>
      <c r="DN145" t="n">
        <v>15993</v>
      </c>
      <c r="DO145" t="n">
        <v>10005</v>
      </c>
      <c r="DP145" t="n">
        <v>12135</v>
      </c>
      <c r="DQ145" t="n">
        <v>7829</v>
      </c>
      <c r="DR145" t="n">
        <v>15961</v>
      </c>
      <c r="DS145" t="n">
        <v>13483</v>
      </c>
      <c r="DT145" t="n">
        <v>13975</v>
      </c>
      <c r="DV145" t="inlineStr">
        <is>
          <t>Conservação, Limpza, Copa, Cozinha, Segurança</t>
        </is>
      </c>
      <c r="DW145">
        <f>IFERROR(CHOOSE(MATCH($DV$6,{"Ano Completo","1º Semestre","2º Semestre","1º Trimestre","2º Trimestre","3º Trimestre","4º Trimestre"},0),SUM(DX145:EI145),SUM(DX145:EC145),SUM(ED145:EI145),SUM(DX145:DZ145),SUM(EA145:EC145),SUM(ED145:EF145),SUM(EG145:EI145)),0)</f>
        <v/>
      </c>
      <c r="DX145" t="n">
        <v>17004</v>
      </c>
      <c r="DY145" t="n">
        <v>17296</v>
      </c>
      <c r="DZ145" t="n">
        <v>17329</v>
      </c>
      <c r="EA145" t="n">
        <v>12289</v>
      </c>
      <c r="EB145" t="n">
        <v>11947</v>
      </c>
      <c r="EC145" t="n">
        <v>11487</v>
      </c>
      <c r="ED145" t="n">
        <v>8629</v>
      </c>
      <c r="EE145" t="n">
        <v>11849</v>
      </c>
      <c r="EF145" t="n">
        <v>19687</v>
      </c>
      <c r="EG145" t="n">
        <v>6537</v>
      </c>
      <c r="EH145" t="n">
        <v>1274</v>
      </c>
      <c r="EI145" t="n">
        <v>10029</v>
      </c>
      <c r="EL145" t="inlineStr">
        <is>
          <t>Conservação, Limpza, Copa, Cozinha, Segurança</t>
        </is>
      </c>
      <c r="EM145">
        <f>IFERROR(CHOOSE(MATCH($EL$6,{"Ano Completo","1º Semestre","2º Semestre","1º Trimestre","2º Trimestre","3º Trimestre","4º Trimestre"},0),SUM(EN145:EY145),SUM(EN145:ES145),SUM(ET145:EY145),SUM(EN145:EP145),SUM(EQ145:ES145),SUM(ET145:EV145),SUM(EW145:EY145)),0)</f>
        <v/>
      </c>
      <c r="EN145" t="n">
        <v>4398</v>
      </c>
      <c r="EO145" t="n">
        <v>11788</v>
      </c>
      <c r="EP145" t="n">
        <v>3669</v>
      </c>
      <c r="EQ145" t="n">
        <v>7399</v>
      </c>
      <c r="ER145" t="n">
        <v>17546</v>
      </c>
      <c r="ES145" t="n">
        <v>15993</v>
      </c>
      <c r="ET145" t="n">
        <v>10005</v>
      </c>
      <c r="EU145" t="n">
        <v>12135</v>
      </c>
      <c r="EV145" t="n">
        <v>7829</v>
      </c>
      <c r="EW145" t="n">
        <v>15961</v>
      </c>
      <c r="EX145" t="n">
        <v>13483</v>
      </c>
      <c r="EY145" t="n">
        <v>13975</v>
      </c>
    </row>
    <row r="146">
      <c r="B146" t="inlineStr">
        <is>
          <t>Investimentos</t>
        </is>
      </c>
      <c r="C146">
        <f>IFERROR(CHOOSE(MATCH($B$6,{"Ano Completo","1º Semestre","2º Semestre","1º Trimestre","2º Trimestre","3º Trimestre","4º Trimestre"},0),SUM(D146:O146),SUM(D146:I146),SUM(J146:O146),SUM(D146:F146),SUM(G146:I146),SUM(J146:L146),SUM(M146:O146)),0)</f>
        <v/>
      </c>
      <c r="R146" t="inlineStr">
        <is>
          <t>Investimentos</t>
        </is>
      </c>
      <c r="S146">
        <f>IFERROR(CHOOSE(MATCH($R$6,{"Ano Completo","1º Semestre","2º Semestre","1º Trimestre","2º Trimestre","3º Trimestre","4º Trimestre"},0),SUM(T146:AE146),SUM(T146:Y146),SUM(Z146:AE146),SUM(T146:V146),SUM(W146:Y146),SUM(Z146:AB146),SUM(AC146:AE146)),0)</f>
        <v/>
      </c>
      <c r="AG146" t="inlineStr">
        <is>
          <t>Investimentos</t>
        </is>
      </c>
      <c r="AH146">
        <f>IFERROR(CHOOSE(MATCH($AG$6,{"Ano Completo","1º Semestre","2º Semestre","1º Trimestre","2º Trimestre","3º Trimestre","4º Trimestre"},0),SUM(AI146:AT146),SUM(AI146:AN146),SUM(AO146:AT146),SUM(AI146:AK146),SUM(AL146:AN146),SUM(AO146:AQ146),SUM(AR146:AT146)),0)</f>
        <v/>
      </c>
      <c r="AI146" t="n">
        <v>17856</v>
      </c>
      <c r="AJ146" t="n">
        <v>6525</v>
      </c>
      <c r="AK146" t="n">
        <v>13507</v>
      </c>
      <c r="AL146" t="n">
        <v>19320</v>
      </c>
      <c r="AM146" t="n">
        <v>14336</v>
      </c>
      <c r="AN146" t="n">
        <v>5511</v>
      </c>
      <c r="AO146" t="n">
        <v>10235</v>
      </c>
      <c r="AP146" t="n">
        <v>10808</v>
      </c>
      <c r="AQ146" t="n">
        <v>13160</v>
      </c>
      <c r="AR146" t="n">
        <v>1833</v>
      </c>
      <c r="AS146" t="n">
        <v>9453</v>
      </c>
      <c r="AT146" t="n">
        <v>13604</v>
      </c>
      <c r="AW146" t="inlineStr">
        <is>
          <t>Investimentos</t>
        </is>
      </c>
      <c r="AX146">
        <f>IFERROR(CHOOSE(MATCH($AW$6,{"Ano Completo","1º Semestre","2º Semestre","1º Trimestre","2º Trimestre","3º Trimestre","4º Trimestre"},0),SUM(AY146:BJ146),SUM(AY146:BD146),SUM(BE146:BJ146),SUM(AY146:BA146),SUM(BB146:BD146),SUM(BE146:BG146),SUM(BH146:BJ146)),0)</f>
        <v/>
      </c>
      <c r="AY146" t="n">
        <v>13036</v>
      </c>
      <c r="AZ146" t="n">
        <v>17816</v>
      </c>
      <c r="BA146" t="n">
        <v>11434</v>
      </c>
      <c r="BB146" t="n">
        <v>14766</v>
      </c>
      <c r="BC146" t="n">
        <v>13940</v>
      </c>
      <c r="BD146" t="n">
        <v>13531</v>
      </c>
      <c r="BE146" t="n">
        <v>19469</v>
      </c>
      <c r="BF146" t="n">
        <v>8118</v>
      </c>
      <c r="BG146" t="n">
        <v>1107</v>
      </c>
      <c r="BH146" t="n">
        <v>12785</v>
      </c>
      <c r="BI146" t="n">
        <v>19739</v>
      </c>
      <c r="BJ146" t="n">
        <v>15517</v>
      </c>
      <c r="BL146" t="inlineStr">
        <is>
          <t>Investimentos</t>
        </is>
      </c>
      <c r="BM146">
        <f>IFERROR(CHOOSE(MATCH($BL$6,{"Ano Completo","1º Semestre","2º Semestre","1º Trimestre","2º Trimestre","3º Trimestre","4º Trimestre"},0),SUM(BN146:BY146),SUM(BN146:BS146),SUM(BT146:BY146),SUM(BN146:BP146),SUM(BQ146:BS146),SUM(BT146:BV146),SUM(BW146:BY146)),0)</f>
        <v/>
      </c>
      <c r="BN146" t="n">
        <v>17856</v>
      </c>
      <c r="BO146" t="n">
        <v>6525</v>
      </c>
      <c r="BP146" t="n">
        <v>13507</v>
      </c>
      <c r="BQ146" t="n">
        <v>19320</v>
      </c>
      <c r="BR146" t="n">
        <v>14336</v>
      </c>
      <c r="BS146" t="n">
        <v>5511</v>
      </c>
      <c r="BT146" t="n">
        <v>10235</v>
      </c>
      <c r="BU146" t="n">
        <v>10808</v>
      </c>
      <c r="BV146" t="n">
        <v>13160</v>
      </c>
      <c r="BW146" t="n">
        <v>1833</v>
      </c>
      <c r="BX146" t="n">
        <v>9453</v>
      </c>
      <c r="BY146" t="n">
        <v>13604</v>
      </c>
      <c r="CB146" t="inlineStr">
        <is>
          <t>Investimentos</t>
        </is>
      </c>
      <c r="CC146">
        <f>IFERROR(CHOOSE(MATCH($CB$6,{"Ano Completo","1º Semestre","2º Semestre","1º Trimestre","2º Trimestre","3º Trimestre","4º Trimestre"},0),SUM(CD146:CO146),SUM(CD146:CI146),SUM(CJ146:CO146),SUM(CD146:CF146),SUM(CG146:CI146),SUM(CJ146:CL146),SUM(CM146:CO146)),0)</f>
        <v/>
      </c>
      <c r="CD146" t="n">
        <v>13036</v>
      </c>
      <c r="CE146" t="n">
        <v>17816</v>
      </c>
      <c r="CF146" t="n">
        <v>11434</v>
      </c>
      <c r="CG146" t="n">
        <v>14766</v>
      </c>
      <c r="CH146" t="n">
        <v>13940</v>
      </c>
      <c r="CI146" t="n">
        <v>13531</v>
      </c>
      <c r="CJ146" t="n">
        <v>19469</v>
      </c>
      <c r="CK146" t="n">
        <v>8118</v>
      </c>
      <c r="CL146" t="n">
        <v>1107</v>
      </c>
      <c r="CM146" t="n">
        <v>12785</v>
      </c>
      <c r="CN146" t="n">
        <v>19739</v>
      </c>
      <c r="CO146" t="n">
        <v>15517</v>
      </c>
      <c r="CQ146" t="inlineStr">
        <is>
          <t>Investimentos</t>
        </is>
      </c>
      <c r="CR146">
        <f>IFERROR(CHOOSE(MATCH($CQ$6,{"Ano Completo","1º Semestre","2º Semestre","1º Trimestre","2º Trimestre","3º Trimestre","4º Trimestre"},0),SUM(CS146:DD146),SUM(CS146:CX146),SUM(CY146:DD146),SUM(CS146:CU146),SUM(CV146:CX146),SUM(CY146:DA146),SUM(DB146:DD146)),0)</f>
        <v/>
      </c>
      <c r="CS146" t="n">
        <v>17856</v>
      </c>
      <c r="CT146" t="n">
        <v>6525</v>
      </c>
      <c r="CU146" t="n">
        <v>13507</v>
      </c>
      <c r="CV146" t="n">
        <v>19320</v>
      </c>
      <c r="CW146" t="n">
        <v>14336</v>
      </c>
      <c r="CX146" t="n">
        <v>5511</v>
      </c>
      <c r="CY146" t="n">
        <v>10235</v>
      </c>
      <c r="CZ146" t="n">
        <v>10808</v>
      </c>
      <c r="DA146" t="n">
        <v>13160</v>
      </c>
      <c r="DB146" t="n">
        <v>1833</v>
      </c>
      <c r="DC146" t="n">
        <v>9453</v>
      </c>
      <c r="DD146" t="n">
        <v>13604</v>
      </c>
      <c r="DG146" t="inlineStr">
        <is>
          <t>Investimentos</t>
        </is>
      </c>
      <c r="DH146">
        <f>IFERROR(CHOOSE(MATCH($DG$6,{"Ano Completo","1º Semestre","2º Semestre","1º Trimestre","2º Trimestre","3º Trimestre","4º Trimestre"},0),SUM(DI146:DT146),SUM(DI146:DN146),SUM(DO146:DT146),SUM(DI146:DK146),SUM(DL146:DN146),SUM(DO146:DQ146),SUM(DR146:DT146)),0)</f>
        <v/>
      </c>
      <c r="DI146" t="n">
        <v>13036</v>
      </c>
      <c r="DJ146" t="n">
        <v>17816</v>
      </c>
      <c r="DK146" t="n">
        <v>11434</v>
      </c>
      <c r="DL146" t="n">
        <v>14766</v>
      </c>
      <c r="DM146" t="n">
        <v>13940</v>
      </c>
      <c r="DN146" t="n">
        <v>13531</v>
      </c>
      <c r="DO146" t="n">
        <v>19469</v>
      </c>
      <c r="DP146" t="n">
        <v>8118</v>
      </c>
      <c r="DQ146" t="n">
        <v>1107</v>
      </c>
      <c r="DR146" t="n">
        <v>12785</v>
      </c>
      <c r="DS146" t="n">
        <v>19739</v>
      </c>
      <c r="DT146" t="n">
        <v>15517</v>
      </c>
      <c r="DV146" t="inlineStr">
        <is>
          <t>Investimentos</t>
        </is>
      </c>
      <c r="DW146">
        <f>IFERROR(CHOOSE(MATCH($DV$6,{"Ano Completo","1º Semestre","2º Semestre","1º Trimestre","2º Trimestre","3º Trimestre","4º Trimestre"},0),SUM(DX146:EI146),SUM(DX146:EC146),SUM(ED146:EI146),SUM(DX146:DZ146),SUM(EA146:EC146),SUM(ED146:EF146),SUM(EG146:EI146)),0)</f>
        <v/>
      </c>
      <c r="DX146" t="n">
        <v>17856</v>
      </c>
      <c r="DY146" t="n">
        <v>6525</v>
      </c>
      <c r="DZ146" t="n">
        <v>13507</v>
      </c>
      <c r="EA146" t="n">
        <v>19320</v>
      </c>
      <c r="EB146" t="n">
        <v>14336</v>
      </c>
      <c r="EC146" t="n">
        <v>5511</v>
      </c>
      <c r="ED146" t="n">
        <v>10235</v>
      </c>
      <c r="EE146" t="n">
        <v>10808</v>
      </c>
      <c r="EF146" t="n">
        <v>13160</v>
      </c>
      <c r="EG146" t="n">
        <v>1833</v>
      </c>
      <c r="EH146" t="n">
        <v>9453</v>
      </c>
      <c r="EI146" t="n">
        <v>13604</v>
      </c>
      <c r="EL146" t="inlineStr">
        <is>
          <t>Investimentos</t>
        </is>
      </c>
      <c r="EM146">
        <f>IFERROR(CHOOSE(MATCH($EL$6,{"Ano Completo","1º Semestre","2º Semestre","1º Trimestre","2º Trimestre","3º Trimestre","4º Trimestre"},0),SUM(EN146:EY146),SUM(EN146:ES146),SUM(ET146:EY146),SUM(EN146:EP146),SUM(EQ146:ES146),SUM(ET146:EV146),SUM(EW146:EY146)),0)</f>
        <v/>
      </c>
      <c r="EN146" t="n">
        <v>13036</v>
      </c>
      <c r="EO146" t="n">
        <v>17816</v>
      </c>
      <c r="EP146" t="n">
        <v>11434</v>
      </c>
      <c r="EQ146" t="n">
        <v>14766</v>
      </c>
      <c r="ER146" t="n">
        <v>13940</v>
      </c>
      <c r="ES146" t="n">
        <v>13531</v>
      </c>
      <c r="ET146" t="n">
        <v>19469</v>
      </c>
      <c r="EU146" t="n">
        <v>8118</v>
      </c>
      <c r="EV146" t="n">
        <v>1107</v>
      </c>
      <c r="EW146" t="n">
        <v>12785</v>
      </c>
      <c r="EX146" t="n">
        <v>19739</v>
      </c>
      <c r="EY146" t="n">
        <v>15517</v>
      </c>
    </row>
    <row r="147">
      <c r="B147" t="inlineStr">
        <is>
          <t>Depreciação</t>
        </is>
      </c>
      <c r="C147">
        <f>IFERROR(CHOOSE(MATCH($B$6,{"Ano Completo","1º Semestre","2º Semestre","1º Trimestre","2º Trimestre","3º Trimestre","4º Trimestre"},0),SUM(D147:O147),SUM(D147:I147),SUM(J147:O147),SUM(D147:F147),SUM(G147:I147),SUM(J147:L147),SUM(M147:O147)),0)</f>
        <v/>
      </c>
      <c r="R147" t="inlineStr">
        <is>
          <t>Depreciação</t>
        </is>
      </c>
      <c r="S147">
        <f>IFERROR(CHOOSE(MATCH($R$6,{"Ano Completo","1º Semestre","2º Semestre","1º Trimestre","2º Trimestre","3º Trimestre","4º Trimestre"},0),SUM(T147:AE147),SUM(T147:Y147),SUM(Z147:AE147),SUM(T147:V147),SUM(W147:Y147),SUM(Z147:AB147),SUM(AC147:AE147)),0)</f>
        <v/>
      </c>
      <c r="AG147" t="inlineStr">
        <is>
          <t>Depreciação</t>
        </is>
      </c>
      <c r="AH147">
        <f>IFERROR(CHOOSE(MATCH($AG$6,{"Ano Completo","1º Semestre","2º Semestre","1º Trimestre","2º Trimestre","3º Trimestre","4º Trimestre"},0),SUM(AI147:AT147),SUM(AI147:AN147),SUM(AO147:AT147),SUM(AI147:AK147),SUM(AL147:AN147),SUM(AO147:AQ147),SUM(AR147:AT147)),0)</f>
        <v/>
      </c>
      <c r="AI147" t="n">
        <v>3474</v>
      </c>
      <c r="AJ147" t="n">
        <v>11913</v>
      </c>
      <c r="AK147" t="n">
        <v>18257</v>
      </c>
      <c r="AL147" t="n">
        <v>12416</v>
      </c>
      <c r="AM147" t="n">
        <v>18549</v>
      </c>
      <c r="AN147" t="n">
        <v>8055</v>
      </c>
      <c r="AO147" t="n">
        <v>7748</v>
      </c>
      <c r="AP147" t="n">
        <v>9866</v>
      </c>
      <c r="AQ147" t="n">
        <v>2091</v>
      </c>
      <c r="AR147" t="n">
        <v>5061</v>
      </c>
      <c r="AS147" t="n">
        <v>1147</v>
      </c>
      <c r="AT147" t="n">
        <v>6921</v>
      </c>
      <c r="AW147" t="inlineStr">
        <is>
          <t>Depreciação</t>
        </is>
      </c>
      <c r="AX147">
        <f>IFERROR(CHOOSE(MATCH($AW$6,{"Ano Completo","1º Semestre","2º Semestre","1º Trimestre","2º Trimestre","3º Trimestre","4º Trimestre"},0),SUM(AY147:BJ147),SUM(AY147:BD147),SUM(BE147:BJ147),SUM(AY147:BA147),SUM(BB147:BD147),SUM(BE147:BG147),SUM(BH147:BJ147)),0)</f>
        <v/>
      </c>
      <c r="AY147" t="n">
        <v>9957</v>
      </c>
      <c r="AZ147" t="n">
        <v>18124</v>
      </c>
      <c r="BA147" t="n">
        <v>7657</v>
      </c>
      <c r="BB147" t="n">
        <v>5242</v>
      </c>
      <c r="BC147" t="n">
        <v>10539</v>
      </c>
      <c r="BD147" t="n">
        <v>17275</v>
      </c>
      <c r="BE147" t="n">
        <v>9502</v>
      </c>
      <c r="BF147" t="n">
        <v>9650</v>
      </c>
      <c r="BG147" t="n">
        <v>15376</v>
      </c>
      <c r="BH147" t="n">
        <v>4492</v>
      </c>
      <c r="BI147" t="n">
        <v>15542</v>
      </c>
      <c r="BJ147" t="n">
        <v>16953</v>
      </c>
      <c r="BL147" t="inlineStr">
        <is>
          <t>Depreciação</t>
        </is>
      </c>
      <c r="BM147">
        <f>IFERROR(CHOOSE(MATCH($BL$6,{"Ano Completo","1º Semestre","2º Semestre","1º Trimestre","2º Trimestre","3º Trimestre","4º Trimestre"},0),SUM(BN147:BY147),SUM(BN147:BS147),SUM(BT147:BY147),SUM(BN147:BP147),SUM(BQ147:BS147),SUM(BT147:BV147),SUM(BW147:BY147)),0)</f>
        <v/>
      </c>
      <c r="BN147" t="n">
        <v>3474</v>
      </c>
      <c r="BO147" t="n">
        <v>11913</v>
      </c>
      <c r="BP147" t="n">
        <v>18257</v>
      </c>
      <c r="BQ147" t="n">
        <v>12416</v>
      </c>
      <c r="BR147" t="n">
        <v>18549</v>
      </c>
      <c r="BS147" t="n">
        <v>8055</v>
      </c>
      <c r="BT147" t="n">
        <v>7748</v>
      </c>
      <c r="BU147" t="n">
        <v>9866</v>
      </c>
      <c r="BV147" t="n">
        <v>2091</v>
      </c>
      <c r="BW147" t="n">
        <v>5061</v>
      </c>
      <c r="BX147" t="n">
        <v>1147</v>
      </c>
      <c r="BY147" t="n">
        <v>6921</v>
      </c>
      <c r="CB147" t="inlineStr">
        <is>
          <t>Depreciação</t>
        </is>
      </c>
      <c r="CC147">
        <f>IFERROR(CHOOSE(MATCH($CB$6,{"Ano Completo","1º Semestre","2º Semestre","1º Trimestre","2º Trimestre","3º Trimestre","4º Trimestre"},0),SUM(CD147:CO147),SUM(CD147:CI147),SUM(CJ147:CO147),SUM(CD147:CF147),SUM(CG147:CI147),SUM(CJ147:CL147),SUM(CM147:CO147)),0)</f>
        <v/>
      </c>
      <c r="CD147" t="n">
        <v>9957</v>
      </c>
      <c r="CE147" t="n">
        <v>18124</v>
      </c>
      <c r="CF147" t="n">
        <v>7657</v>
      </c>
      <c r="CG147" t="n">
        <v>5242</v>
      </c>
      <c r="CH147" t="n">
        <v>10539</v>
      </c>
      <c r="CI147" t="n">
        <v>17275</v>
      </c>
      <c r="CJ147" t="n">
        <v>9502</v>
      </c>
      <c r="CK147" t="n">
        <v>9650</v>
      </c>
      <c r="CL147" t="n">
        <v>15376</v>
      </c>
      <c r="CM147" t="n">
        <v>4492</v>
      </c>
      <c r="CN147" t="n">
        <v>15542</v>
      </c>
      <c r="CO147" t="n">
        <v>16953</v>
      </c>
      <c r="CQ147" t="inlineStr">
        <is>
          <t>Depreciação</t>
        </is>
      </c>
      <c r="CR147">
        <f>IFERROR(CHOOSE(MATCH($CQ$6,{"Ano Completo","1º Semestre","2º Semestre","1º Trimestre","2º Trimestre","3º Trimestre","4º Trimestre"},0),SUM(CS147:DD147),SUM(CS147:CX147),SUM(CY147:DD147),SUM(CS147:CU147),SUM(CV147:CX147),SUM(CY147:DA147),SUM(DB147:DD147)),0)</f>
        <v/>
      </c>
      <c r="CS147" t="n">
        <v>3474</v>
      </c>
      <c r="CT147" t="n">
        <v>11913</v>
      </c>
      <c r="CU147" t="n">
        <v>18257</v>
      </c>
      <c r="CV147" t="n">
        <v>12416</v>
      </c>
      <c r="CW147" t="n">
        <v>18549</v>
      </c>
      <c r="CX147" t="n">
        <v>8055</v>
      </c>
      <c r="CY147" t="n">
        <v>7748</v>
      </c>
      <c r="CZ147" t="n">
        <v>9866</v>
      </c>
      <c r="DA147" t="n">
        <v>2091</v>
      </c>
      <c r="DB147" t="n">
        <v>5061</v>
      </c>
      <c r="DC147" t="n">
        <v>1147</v>
      </c>
      <c r="DD147" t="n">
        <v>6921</v>
      </c>
      <c r="DG147" t="inlineStr">
        <is>
          <t>Depreciação</t>
        </is>
      </c>
      <c r="DH147">
        <f>IFERROR(CHOOSE(MATCH($DG$6,{"Ano Completo","1º Semestre","2º Semestre","1º Trimestre","2º Trimestre","3º Trimestre","4º Trimestre"},0),SUM(DI147:DT147),SUM(DI147:DN147),SUM(DO147:DT147),SUM(DI147:DK147),SUM(DL147:DN147),SUM(DO147:DQ147),SUM(DR147:DT147)),0)</f>
        <v/>
      </c>
      <c r="DI147" t="n">
        <v>9957</v>
      </c>
      <c r="DJ147" t="n">
        <v>18124</v>
      </c>
      <c r="DK147" t="n">
        <v>7657</v>
      </c>
      <c r="DL147" t="n">
        <v>5242</v>
      </c>
      <c r="DM147" t="n">
        <v>10539</v>
      </c>
      <c r="DN147" t="n">
        <v>17275</v>
      </c>
      <c r="DO147" t="n">
        <v>9502</v>
      </c>
      <c r="DP147" t="n">
        <v>9650</v>
      </c>
      <c r="DQ147" t="n">
        <v>15376</v>
      </c>
      <c r="DR147" t="n">
        <v>4492</v>
      </c>
      <c r="DS147" t="n">
        <v>15542</v>
      </c>
      <c r="DT147" t="n">
        <v>16953</v>
      </c>
      <c r="DV147" t="inlineStr">
        <is>
          <t>Depreciação</t>
        </is>
      </c>
      <c r="DW147">
        <f>IFERROR(CHOOSE(MATCH($DV$6,{"Ano Completo","1º Semestre","2º Semestre","1º Trimestre","2º Trimestre","3º Trimestre","4º Trimestre"},0),SUM(DX147:EI147),SUM(DX147:EC147),SUM(ED147:EI147),SUM(DX147:DZ147),SUM(EA147:EC147),SUM(ED147:EF147),SUM(EG147:EI147)),0)</f>
        <v/>
      </c>
      <c r="DX147" t="n">
        <v>3474</v>
      </c>
      <c r="DY147" t="n">
        <v>11913</v>
      </c>
      <c r="DZ147" t="n">
        <v>18257</v>
      </c>
      <c r="EA147" t="n">
        <v>12416</v>
      </c>
      <c r="EB147" t="n">
        <v>18549</v>
      </c>
      <c r="EC147" t="n">
        <v>8055</v>
      </c>
      <c r="ED147" t="n">
        <v>7748</v>
      </c>
      <c r="EE147" t="n">
        <v>9866</v>
      </c>
      <c r="EF147" t="n">
        <v>2091</v>
      </c>
      <c r="EG147" t="n">
        <v>5061</v>
      </c>
      <c r="EH147" t="n">
        <v>1147</v>
      </c>
      <c r="EI147" t="n">
        <v>6921</v>
      </c>
      <c r="EL147" t="inlineStr">
        <is>
          <t>Depreciação</t>
        </is>
      </c>
      <c r="EM147">
        <f>IFERROR(CHOOSE(MATCH($EL$6,{"Ano Completo","1º Semestre","2º Semestre","1º Trimestre","2º Trimestre","3º Trimestre","4º Trimestre"},0),SUM(EN147:EY147),SUM(EN147:ES147),SUM(ET147:EY147),SUM(EN147:EP147),SUM(EQ147:ES147),SUM(ET147:EV147),SUM(EW147:EY147)),0)</f>
        <v/>
      </c>
      <c r="EN147" t="n">
        <v>9957</v>
      </c>
      <c r="EO147" t="n">
        <v>18124</v>
      </c>
      <c r="EP147" t="n">
        <v>7657</v>
      </c>
      <c r="EQ147" t="n">
        <v>5242</v>
      </c>
      <c r="ER147" t="n">
        <v>10539</v>
      </c>
      <c r="ES147" t="n">
        <v>17275</v>
      </c>
      <c r="ET147" t="n">
        <v>9502</v>
      </c>
      <c r="EU147" t="n">
        <v>9650</v>
      </c>
      <c r="EV147" t="n">
        <v>15376</v>
      </c>
      <c r="EW147" t="n">
        <v>4492</v>
      </c>
      <c r="EX147" t="n">
        <v>15542</v>
      </c>
      <c r="EY147" t="n">
        <v>16953</v>
      </c>
    </row>
    <row r="148">
      <c r="B148" t="inlineStr">
        <is>
          <t>Link de Dados Adm</t>
        </is>
      </c>
      <c r="C148">
        <f>IFERROR(CHOOSE(MATCH($B$6,{"Ano Completo","1º Semestre","2º Semestre","1º Trimestre","2º Trimestre","3º Trimestre","4º Trimestre"},0),SUM(D148:O148),SUM(D148:I148),SUM(J148:O148),SUM(D148:F148),SUM(G148:I148),SUM(J148:L148),SUM(M148:O148)),0)</f>
        <v/>
      </c>
      <c r="R148" t="inlineStr">
        <is>
          <t>Link de Dados Adm</t>
        </is>
      </c>
      <c r="S148">
        <f>IFERROR(CHOOSE(MATCH($R$6,{"Ano Completo","1º Semestre","2º Semestre","1º Trimestre","2º Trimestre","3º Trimestre","4º Trimestre"},0),SUM(T148:AE148),SUM(T148:Y148),SUM(Z148:AE148),SUM(T148:V148),SUM(W148:Y148),SUM(Z148:AB148),SUM(AC148:AE148)),0)</f>
        <v/>
      </c>
      <c r="AG148" t="inlineStr">
        <is>
          <t>Link de Dados Adm</t>
        </is>
      </c>
      <c r="AH148">
        <f>IFERROR(CHOOSE(MATCH($AG$6,{"Ano Completo","1º Semestre","2º Semestre","1º Trimestre","2º Trimestre","3º Trimestre","4º Trimestre"},0),SUM(AI148:AT148),SUM(AI148:AN148),SUM(AO148:AT148),SUM(AI148:AK148),SUM(AL148:AN148),SUM(AO148:AQ148),SUM(AR148:AT148)),0)</f>
        <v/>
      </c>
      <c r="AI148" t="n">
        <v>10727</v>
      </c>
      <c r="AJ148" t="n">
        <v>4682</v>
      </c>
      <c r="AK148" t="n">
        <v>14082</v>
      </c>
      <c r="AL148" t="n">
        <v>17008</v>
      </c>
      <c r="AM148" t="n">
        <v>13056</v>
      </c>
      <c r="AN148" t="n">
        <v>14491</v>
      </c>
      <c r="AO148" t="n">
        <v>1129</v>
      </c>
      <c r="AP148" t="n">
        <v>18022</v>
      </c>
      <c r="AQ148" t="n">
        <v>11871</v>
      </c>
      <c r="AR148" t="n">
        <v>9013</v>
      </c>
      <c r="AS148" t="n">
        <v>16849</v>
      </c>
      <c r="AT148" t="n">
        <v>14699</v>
      </c>
      <c r="AW148" t="inlineStr">
        <is>
          <t>Link de Dados Adm</t>
        </is>
      </c>
      <c r="AX148">
        <f>IFERROR(CHOOSE(MATCH($AW$6,{"Ano Completo","1º Semestre","2º Semestre","1º Trimestre","2º Trimestre","3º Trimestre","4º Trimestre"},0),SUM(AY148:BJ148),SUM(AY148:BD148),SUM(BE148:BJ148),SUM(AY148:BA148),SUM(BB148:BD148),SUM(BE148:BG148),SUM(BH148:BJ148)),0)</f>
        <v/>
      </c>
      <c r="AY148" t="n">
        <v>9943</v>
      </c>
      <c r="AZ148" t="n">
        <v>14149</v>
      </c>
      <c r="BA148" t="n">
        <v>4566</v>
      </c>
      <c r="BB148" t="n">
        <v>16604</v>
      </c>
      <c r="BC148" t="n">
        <v>13456</v>
      </c>
      <c r="BD148" t="n">
        <v>1228</v>
      </c>
      <c r="BE148" t="n">
        <v>3847</v>
      </c>
      <c r="BF148" t="n">
        <v>1695</v>
      </c>
      <c r="BG148" t="n">
        <v>11638</v>
      </c>
      <c r="BH148" t="n">
        <v>19248</v>
      </c>
      <c r="BI148" t="n">
        <v>7054</v>
      </c>
      <c r="BJ148" t="n">
        <v>9546</v>
      </c>
      <c r="BL148" t="inlineStr">
        <is>
          <t>Link de Dados Adm</t>
        </is>
      </c>
      <c r="BM148">
        <f>IFERROR(CHOOSE(MATCH($BL$6,{"Ano Completo","1º Semestre","2º Semestre","1º Trimestre","2º Trimestre","3º Trimestre","4º Trimestre"},0),SUM(BN148:BY148),SUM(BN148:BS148),SUM(BT148:BY148),SUM(BN148:BP148),SUM(BQ148:BS148),SUM(BT148:BV148),SUM(BW148:BY148)),0)</f>
        <v/>
      </c>
      <c r="BN148" t="n">
        <v>10727</v>
      </c>
      <c r="BO148" t="n">
        <v>4682</v>
      </c>
      <c r="BP148" t="n">
        <v>14082</v>
      </c>
      <c r="BQ148" t="n">
        <v>17008</v>
      </c>
      <c r="BR148" t="n">
        <v>13056</v>
      </c>
      <c r="BS148" t="n">
        <v>14491</v>
      </c>
      <c r="BT148" t="n">
        <v>1129</v>
      </c>
      <c r="BU148" t="n">
        <v>18022</v>
      </c>
      <c r="BV148" t="n">
        <v>11871</v>
      </c>
      <c r="BW148" t="n">
        <v>9013</v>
      </c>
      <c r="BX148" t="n">
        <v>16849</v>
      </c>
      <c r="BY148" t="n">
        <v>14699</v>
      </c>
      <c r="CB148" t="inlineStr">
        <is>
          <t>Link de Dados Adm</t>
        </is>
      </c>
      <c r="CC148">
        <f>IFERROR(CHOOSE(MATCH($CB$6,{"Ano Completo","1º Semestre","2º Semestre","1º Trimestre","2º Trimestre","3º Trimestre","4º Trimestre"},0),SUM(CD148:CO148),SUM(CD148:CI148),SUM(CJ148:CO148),SUM(CD148:CF148),SUM(CG148:CI148),SUM(CJ148:CL148),SUM(CM148:CO148)),0)</f>
        <v/>
      </c>
      <c r="CD148" t="n">
        <v>9943</v>
      </c>
      <c r="CE148" t="n">
        <v>14149</v>
      </c>
      <c r="CF148" t="n">
        <v>4566</v>
      </c>
      <c r="CG148" t="n">
        <v>16604</v>
      </c>
      <c r="CH148" t="n">
        <v>13456</v>
      </c>
      <c r="CI148" t="n">
        <v>1228</v>
      </c>
      <c r="CJ148" t="n">
        <v>3847</v>
      </c>
      <c r="CK148" t="n">
        <v>1695</v>
      </c>
      <c r="CL148" t="n">
        <v>11638</v>
      </c>
      <c r="CM148" t="n">
        <v>19248</v>
      </c>
      <c r="CN148" t="n">
        <v>7054</v>
      </c>
      <c r="CO148" t="n">
        <v>9546</v>
      </c>
      <c r="CQ148" t="inlineStr">
        <is>
          <t>Link de Dados Adm</t>
        </is>
      </c>
      <c r="CR148">
        <f>IFERROR(CHOOSE(MATCH($CQ$6,{"Ano Completo","1º Semestre","2º Semestre","1º Trimestre","2º Trimestre","3º Trimestre","4º Trimestre"},0),SUM(CS148:DD148),SUM(CS148:CX148),SUM(CY148:DD148),SUM(CS148:CU148),SUM(CV148:CX148),SUM(CY148:DA148),SUM(DB148:DD148)),0)</f>
        <v/>
      </c>
      <c r="CS148" t="n">
        <v>10727</v>
      </c>
      <c r="CT148" t="n">
        <v>4682</v>
      </c>
      <c r="CU148" t="n">
        <v>14082</v>
      </c>
      <c r="CV148" t="n">
        <v>17008</v>
      </c>
      <c r="CW148" t="n">
        <v>13056</v>
      </c>
      <c r="CX148" t="n">
        <v>14491</v>
      </c>
      <c r="CY148" t="n">
        <v>1129</v>
      </c>
      <c r="CZ148" t="n">
        <v>18022</v>
      </c>
      <c r="DA148" t="n">
        <v>11871</v>
      </c>
      <c r="DB148" t="n">
        <v>9013</v>
      </c>
      <c r="DC148" t="n">
        <v>16849</v>
      </c>
      <c r="DD148" t="n">
        <v>14699</v>
      </c>
      <c r="DG148" t="inlineStr">
        <is>
          <t>Link de Dados Adm</t>
        </is>
      </c>
      <c r="DH148">
        <f>IFERROR(CHOOSE(MATCH($DG$6,{"Ano Completo","1º Semestre","2º Semestre","1º Trimestre","2º Trimestre","3º Trimestre","4º Trimestre"},0),SUM(DI148:DT148),SUM(DI148:DN148),SUM(DO148:DT148),SUM(DI148:DK148),SUM(DL148:DN148),SUM(DO148:DQ148),SUM(DR148:DT148)),0)</f>
        <v/>
      </c>
      <c r="DI148" t="n">
        <v>9943</v>
      </c>
      <c r="DJ148" t="n">
        <v>14149</v>
      </c>
      <c r="DK148" t="n">
        <v>4566</v>
      </c>
      <c r="DL148" t="n">
        <v>16604</v>
      </c>
      <c r="DM148" t="n">
        <v>13456</v>
      </c>
      <c r="DN148" t="n">
        <v>1228</v>
      </c>
      <c r="DO148" t="n">
        <v>3847</v>
      </c>
      <c r="DP148" t="n">
        <v>1695</v>
      </c>
      <c r="DQ148" t="n">
        <v>11638</v>
      </c>
      <c r="DR148" t="n">
        <v>19248</v>
      </c>
      <c r="DS148" t="n">
        <v>7054</v>
      </c>
      <c r="DT148" t="n">
        <v>9546</v>
      </c>
      <c r="DV148" t="inlineStr">
        <is>
          <t>Link de Dados Adm</t>
        </is>
      </c>
      <c r="DW148">
        <f>IFERROR(CHOOSE(MATCH($DV$6,{"Ano Completo","1º Semestre","2º Semestre","1º Trimestre","2º Trimestre","3º Trimestre","4º Trimestre"},0),SUM(DX148:EI148),SUM(DX148:EC148),SUM(ED148:EI148),SUM(DX148:DZ148),SUM(EA148:EC148),SUM(ED148:EF148),SUM(EG148:EI148)),0)</f>
        <v/>
      </c>
      <c r="DX148" t="n">
        <v>10727</v>
      </c>
      <c r="DY148" t="n">
        <v>4682</v>
      </c>
      <c r="DZ148" t="n">
        <v>14082</v>
      </c>
      <c r="EA148" t="n">
        <v>17008</v>
      </c>
      <c r="EB148" t="n">
        <v>13056</v>
      </c>
      <c r="EC148" t="n">
        <v>14491</v>
      </c>
      <c r="ED148" t="n">
        <v>1129</v>
      </c>
      <c r="EE148" t="n">
        <v>18022</v>
      </c>
      <c r="EF148" t="n">
        <v>11871</v>
      </c>
      <c r="EG148" t="n">
        <v>9013</v>
      </c>
      <c r="EH148" t="n">
        <v>16849</v>
      </c>
      <c r="EI148" t="n">
        <v>14699</v>
      </c>
      <c r="EL148" t="inlineStr">
        <is>
          <t>Link de Dados Adm</t>
        </is>
      </c>
      <c r="EM148">
        <f>IFERROR(CHOOSE(MATCH($EL$6,{"Ano Completo","1º Semestre","2º Semestre","1º Trimestre","2º Trimestre","3º Trimestre","4º Trimestre"},0),SUM(EN148:EY148),SUM(EN148:ES148),SUM(ET148:EY148),SUM(EN148:EP148),SUM(EQ148:ES148),SUM(ET148:EV148),SUM(EW148:EY148)),0)</f>
        <v/>
      </c>
      <c r="EN148" t="n">
        <v>9943</v>
      </c>
      <c r="EO148" t="n">
        <v>14149</v>
      </c>
      <c r="EP148" t="n">
        <v>4566</v>
      </c>
      <c r="EQ148" t="n">
        <v>16604</v>
      </c>
      <c r="ER148" t="n">
        <v>13456</v>
      </c>
      <c r="ES148" t="n">
        <v>1228</v>
      </c>
      <c r="ET148" t="n">
        <v>3847</v>
      </c>
      <c r="EU148" t="n">
        <v>1695</v>
      </c>
      <c r="EV148" t="n">
        <v>11638</v>
      </c>
      <c r="EW148" t="n">
        <v>19248</v>
      </c>
      <c r="EX148" t="n">
        <v>7054</v>
      </c>
      <c r="EY148" t="n">
        <v>9546</v>
      </c>
    </row>
    <row r="149">
      <c r="B149" t="inlineStr">
        <is>
          <t>Link de Dados Operação</t>
        </is>
      </c>
      <c r="C149">
        <f>IFERROR(CHOOSE(MATCH($B$6,{"Ano Completo","1º Semestre","2º Semestre","1º Trimestre","2º Trimestre","3º Trimestre","4º Trimestre"},0),SUM(D149:O149),SUM(D149:I149),SUM(J149:O149),SUM(D149:F149),SUM(G149:I149),SUM(J149:L149),SUM(M149:O149)),0)</f>
        <v/>
      </c>
      <c r="R149" t="inlineStr">
        <is>
          <t>Link de Dados Operação</t>
        </is>
      </c>
      <c r="S149">
        <f>IFERROR(CHOOSE(MATCH($R$6,{"Ano Completo","1º Semestre","2º Semestre","1º Trimestre","2º Trimestre","3º Trimestre","4º Trimestre"},0),SUM(T149:AE149),SUM(T149:Y149),SUM(Z149:AE149),SUM(T149:V149),SUM(W149:Y149),SUM(Z149:AB149),SUM(AC149:AE149)),0)</f>
        <v/>
      </c>
      <c r="AG149" t="inlineStr">
        <is>
          <t>Link de Dados Operação</t>
        </is>
      </c>
      <c r="AH149">
        <f>IFERROR(CHOOSE(MATCH($AG$6,{"Ano Completo","1º Semestre","2º Semestre","1º Trimestre","2º Trimestre","3º Trimestre","4º Trimestre"},0),SUM(AI149:AT149),SUM(AI149:AN149),SUM(AO149:AT149),SUM(AI149:AK149),SUM(AL149:AN149),SUM(AO149:AQ149),SUM(AR149:AT149)),0)</f>
        <v/>
      </c>
      <c r="AI149" t="n">
        <v>4323</v>
      </c>
      <c r="AJ149" t="n">
        <v>1900</v>
      </c>
      <c r="AK149" t="n">
        <v>14891</v>
      </c>
      <c r="AL149" t="n">
        <v>9052</v>
      </c>
      <c r="AM149" t="n">
        <v>9713</v>
      </c>
      <c r="AN149" t="n">
        <v>16460</v>
      </c>
      <c r="AO149" t="n">
        <v>1718</v>
      </c>
      <c r="AP149" t="n">
        <v>18668</v>
      </c>
      <c r="AQ149" t="n">
        <v>2745</v>
      </c>
      <c r="AR149" t="n">
        <v>10132</v>
      </c>
      <c r="AS149" t="n">
        <v>2657</v>
      </c>
      <c r="AT149" t="n">
        <v>15592</v>
      </c>
      <c r="AW149" t="inlineStr">
        <is>
          <t>Link de Dados Operação</t>
        </is>
      </c>
      <c r="AX149">
        <f>IFERROR(CHOOSE(MATCH($AW$6,{"Ano Completo","1º Semestre","2º Semestre","1º Trimestre","2º Trimestre","3º Trimestre","4º Trimestre"},0),SUM(AY149:BJ149),SUM(AY149:BD149),SUM(BE149:BJ149),SUM(AY149:BA149),SUM(BB149:BD149),SUM(BE149:BG149),SUM(BH149:BJ149)),0)</f>
        <v/>
      </c>
      <c r="AY149" t="n">
        <v>12502</v>
      </c>
      <c r="AZ149" t="n">
        <v>13211</v>
      </c>
      <c r="BA149" t="n">
        <v>12706</v>
      </c>
      <c r="BB149" t="n">
        <v>15368</v>
      </c>
      <c r="BC149" t="n">
        <v>1342</v>
      </c>
      <c r="BD149" t="n">
        <v>11379</v>
      </c>
      <c r="BE149" t="n">
        <v>1676</v>
      </c>
      <c r="BF149" t="n">
        <v>11539</v>
      </c>
      <c r="BG149" t="n">
        <v>6016</v>
      </c>
      <c r="BH149" t="n">
        <v>16686</v>
      </c>
      <c r="BI149" t="n">
        <v>10632</v>
      </c>
      <c r="BJ149" t="n">
        <v>12904</v>
      </c>
      <c r="BL149" t="inlineStr">
        <is>
          <t>Link de Dados Operação</t>
        </is>
      </c>
      <c r="BM149">
        <f>IFERROR(CHOOSE(MATCH($BL$6,{"Ano Completo","1º Semestre","2º Semestre","1º Trimestre","2º Trimestre","3º Trimestre","4º Trimestre"},0),SUM(BN149:BY149),SUM(BN149:BS149),SUM(BT149:BY149),SUM(BN149:BP149),SUM(BQ149:BS149),SUM(BT149:BV149),SUM(BW149:BY149)),0)</f>
        <v/>
      </c>
      <c r="BN149" t="n">
        <v>4323</v>
      </c>
      <c r="BO149" t="n">
        <v>1900</v>
      </c>
      <c r="BP149" t="n">
        <v>14891</v>
      </c>
      <c r="BQ149" t="n">
        <v>9052</v>
      </c>
      <c r="BR149" t="n">
        <v>9713</v>
      </c>
      <c r="BS149" t="n">
        <v>16460</v>
      </c>
      <c r="BT149" t="n">
        <v>1718</v>
      </c>
      <c r="BU149" t="n">
        <v>18668</v>
      </c>
      <c r="BV149" t="n">
        <v>2745</v>
      </c>
      <c r="BW149" t="n">
        <v>10132</v>
      </c>
      <c r="BX149" t="n">
        <v>2657</v>
      </c>
      <c r="BY149" t="n">
        <v>15592</v>
      </c>
      <c r="CB149" t="inlineStr">
        <is>
          <t>Link de Dados Operação</t>
        </is>
      </c>
      <c r="CC149">
        <f>IFERROR(CHOOSE(MATCH($CB$6,{"Ano Completo","1º Semestre","2º Semestre","1º Trimestre","2º Trimestre","3º Trimestre","4º Trimestre"},0),SUM(CD149:CO149),SUM(CD149:CI149),SUM(CJ149:CO149),SUM(CD149:CF149),SUM(CG149:CI149),SUM(CJ149:CL149),SUM(CM149:CO149)),0)</f>
        <v/>
      </c>
      <c r="CD149" t="n">
        <v>12502</v>
      </c>
      <c r="CE149" t="n">
        <v>13211</v>
      </c>
      <c r="CF149" t="n">
        <v>12706</v>
      </c>
      <c r="CG149" t="n">
        <v>15368</v>
      </c>
      <c r="CH149" t="n">
        <v>1342</v>
      </c>
      <c r="CI149" t="n">
        <v>11379</v>
      </c>
      <c r="CJ149" t="n">
        <v>1676</v>
      </c>
      <c r="CK149" t="n">
        <v>11539</v>
      </c>
      <c r="CL149" t="n">
        <v>6016</v>
      </c>
      <c r="CM149" t="n">
        <v>16686</v>
      </c>
      <c r="CN149" t="n">
        <v>10632</v>
      </c>
      <c r="CO149" t="n">
        <v>12904</v>
      </c>
      <c r="CQ149" t="inlineStr">
        <is>
          <t>Link de Dados Operação</t>
        </is>
      </c>
      <c r="CR149">
        <f>IFERROR(CHOOSE(MATCH($CQ$6,{"Ano Completo","1º Semestre","2º Semestre","1º Trimestre","2º Trimestre","3º Trimestre","4º Trimestre"},0),SUM(CS149:DD149),SUM(CS149:CX149),SUM(CY149:DD149),SUM(CS149:CU149),SUM(CV149:CX149),SUM(CY149:DA149),SUM(DB149:DD149)),0)</f>
        <v/>
      </c>
      <c r="CS149" t="n">
        <v>4323</v>
      </c>
      <c r="CT149" t="n">
        <v>1900</v>
      </c>
      <c r="CU149" t="n">
        <v>14891</v>
      </c>
      <c r="CV149" t="n">
        <v>9052</v>
      </c>
      <c r="CW149" t="n">
        <v>9713</v>
      </c>
      <c r="CX149" t="n">
        <v>16460</v>
      </c>
      <c r="CY149" t="n">
        <v>1718</v>
      </c>
      <c r="CZ149" t="n">
        <v>18668</v>
      </c>
      <c r="DA149" t="n">
        <v>2745</v>
      </c>
      <c r="DB149" t="n">
        <v>10132</v>
      </c>
      <c r="DC149" t="n">
        <v>2657</v>
      </c>
      <c r="DD149" t="n">
        <v>15592</v>
      </c>
      <c r="DG149" t="inlineStr">
        <is>
          <t>Link de Dados Operação</t>
        </is>
      </c>
      <c r="DH149">
        <f>IFERROR(CHOOSE(MATCH($DG$6,{"Ano Completo","1º Semestre","2º Semestre","1º Trimestre","2º Trimestre","3º Trimestre","4º Trimestre"},0),SUM(DI149:DT149),SUM(DI149:DN149),SUM(DO149:DT149),SUM(DI149:DK149),SUM(DL149:DN149),SUM(DO149:DQ149),SUM(DR149:DT149)),0)</f>
        <v/>
      </c>
      <c r="DI149" t="n">
        <v>12502</v>
      </c>
      <c r="DJ149" t="n">
        <v>13211</v>
      </c>
      <c r="DK149" t="n">
        <v>12706</v>
      </c>
      <c r="DL149" t="n">
        <v>15368</v>
      </c>
      <c r="DM149" t="n">
        <v>1342</v>
      </c>
      <c r="DN149" t="n">
        <v>11379</v>
      </c>
      <c r="DO149" t="n">
        <v>1676</v>
      </c>
      <c r="DP149" t="n">
        <v>11539</v>
      </c>
      <c r="DQ149" t="n">
        <v>6016</v>
      </c>
      <c r="DR149" t="n">
        <v>16686</v>
      </c>
      <c r="DS149" t="n">
        <v>10632</v>
      </c>
      <c r="DT149" t="n">
        <v>12904</v>
      </c>
      <c r="DV149" t="inlineStr">
        <is>
          <t>Link de Dados Operação</t>
        </is>
      </c>
      <c r="DW149">
        <f>IFERROR(CHOOSE(MATCH($DV$6,{"Ano Completo","1º Semestre","2º Semestre","1º Trimestre","2º Trimestre","3º Trimestre","4º Trimestre"},0),SUM(DX149:EI149),SUM(DX149:EC149),SUM(ED149:EI149),SUM(DX149:DZ149),SUM(EA149:EC149),SUM(ED149:EF149),SUM(EG149:EI149)),0)</f>
        <v/>
      </c>
      <c r="DX149" t="n">
        <v>4323</v>
      </c>
      <c r="DY149" t="n">
        <v>1900</v>
      </c>
      <c r="DZ149" t="n">
        <v>14891</v>
      </c>
      <c r="EA149" t="n">
        <v>9052</v>
      </c>
      <c r="EB149" t="n">
        <v>9713</v>
      </c>
      <c r="EC149" t="n">
        <v>16460</v>
      </c>
      <c r="ED149" t="n">
        <v>1718</v>
      </c>
      <c r="EE149" t="n">
        <v>18668</v>
      </c>
      <c r="EF149" t="n">
        <v>2745</v>
      </c>
      <c r="EG149" t="n">
        <v>10132</v>
      </c>
      <c r="EH149" t="n">
        <v>2657</v>
      </c>
      <c r="EI149" t="n">
        <v>15592</v>
      </c>
      <c r="EL149" t="inlineStr">
        <is>
          <t>Link de Dados Operação</t>
        </is>
      </c>
      <c r="EM149">
        <f>IFERROR(CHOOSE(MATCH($EL$6,{"Ano Completo","1º Semestre","2º Semestre","1º Trimestre","2º Trimestre","3º Trimestre","4º Trimestre"},0),SUM(EN149:EY149),SUM(EN149:ES149),SUM(ET149:EY149),SUM(EN149:EP149),SUM(EQ149:ES149),SUM(ET149:EV149),SUM(EW149:EY149)),0)</f>
        <v/>
      </c>
      <c r="EN149" t="n">
        <v>12502</v>
      </c>
      <c r="EO149" t="n">
        <v>13211</v>
      </c>
      <c r="EP149" t="n">
        <v>12706</v>
      </c>
      <c r="EQ149" t="n">
        <v>15368</v>
      </c>
      <c r="ER149" t="n">
        <v>1342</v>
      </c>
      <c r="ES149" t="n">
        <v>11379</v>
      </c>
      <c r="ET149" t="n">
        <v>1676</v>
      </c>
      <c r="EU149" t="n">
        <v>11539</v>
      </c>
      <c r="EV149" t="n">
        <v>6016</v>
      </c>
      <c r="EW149" t="n">
        <v>16686</v>
      </c>
      <c r="EX149" t="n">
        <v>10632</v>
      </c>
      <c r="EY149" t="n">
        <v>12904</v>
      </c>
    </row>
    <row r="150">
      <c r="B150" t="inlineStr">
        <is>
          <t>Seguros Patrimoniais</t>
        </is>
      </c>
      <c r="C150">
        <f>IFERROR(CHOOSE(MATCH($B$6,{"Ano Completo","1º Semestre","2º Semestre","1º Trimestre","2º Trimestre","3º Trimestre","4º Trimestre"},0),SUM(D150:O150),SUM(D150:I150),SUM(J150:O150),SUM(D150:F150),SUM(G150:I150),SUM(J150:L150),SUM(M150:O150)),0)</f>
        <v/>
      </c>
      <c r="R150" t="inlineStr">
        <is>
          <t>Seguros Patrimoniais</t>
        </is>
      </c>
      <c r="S150">
        <f>IFERROR(CHOOSE(MATCH($R$6,{"Ano Completo","1º Semestre","2º Semestre","1º Trimestre","2º Trimestre","3º Trimestre","4º Trimestre"},0),SUM(T150:AE150),SUM(T150:Y150),SUM(Z150:AE150),SUM(T150:V150),SUM(W150:Y150),SUM(Z150:AB150),SUM(AC150:AE150)),0)</f>
        <v/>
      </c>
      <c r="AG150" t="inlineStr">
        <is>
          <t>Seguros Patrimoniais</t>
        </is>
      </c>
      <c r="AH150">
        <f>IFERROR(CHOOSE(MATCH($AG$6,{"Ano Completo","1º Semestre","2º Semestre","1º Trimestre","2º Trimestre","3º Trimestre","4º Trimestre"},0),SUM(AI150:AT150),SUM(AI150:AN150),SUM(AO150:AT150),SUM(AI150:AK150),SUM(AL150:AN150),SUM(AO150:AQ150),SUM(AR150:AT150)),0)</f>
        <v/>
      </c>
      <c r="AI150" t="n">
        <v>9347</v>
      </c>
      <c r="AJ150" t="n">
        <v>17178</v>
      </c>
      <c r="AK150" t="n">
        <v>5495</v>
      </c>
      <c r="AL150" t="n">
        <v>17474</v>
      </c>
      <c r="AM150" t="n">
        <v>14951</v>
      </c>
      <c r="AN150" t="n">
        <v>18940</v>
      </c>
      <c r="AO150" t="n">
        <v>12430</v>
      </c>
      <c r="AP150" t="n">
        <v>18878</v>
      </c>
      <c r="AQ150" t="n">
        <v>8109</v>
      </c>
      <c r="AR150" t="n">
        <v>2259</v>
      </c>
      <c r="AS150" t="n">
        <v>19661</v>
      </c>
      <c r="AT150" t="n">
        <v>12534</v>
      </c>
      <c r="AW150" t="inlineStr">
        <is>
          <t>Seguros Patrimoniais</t>
        </is>
      </c>
      <c r="AX150">
        <f>IFERROR(CHOOSE(MATCH($AW$6,{"Ano Completo","1º Semestre","2º Semestre","1º Trimestre","2º Trimestre","3º Trimestre","4º Trimestre"},0),SUM(AY150:BJ150),SUM(AY150:BD150),SUM(BE150:BJ150),SUM(AY150:BA150),SUM(BB150:BD150),SUM(BE150:BG150),SUM(BH150:BJ150)),0)</f>
        <v/>
      </c>
      <c r="AY150" t="n">
        <v>8026</v>
      </c>
      <c r="AZ150" t="n">
        <v>8570</v>
      </c>
      <c r="BA150" t="n">
        <v>13189</v>
      </c>
      <c r="BB150" t="n">
        <v>8203</v>
      </c>
      <c r="BC150" t="n">
        <v>5706</v>
      </c>
      <c r="BD150" t="n">
        <v>4414</v>
      </c>
      <c r="BE150" t="n">
        <v>11691</v>
      </c>
      <c r="BF150" t="n">
        <v>19015</v>
      </c>
      <c r="BG150" t="n">
        <v>13011</v>
      </c>
      <c r="BH150" t="n">
        <v>13161</v>
      </c>
      <c r="BI150" t="n">
        <v>7218</v>
      </c>
      <c r="BJ150" t="n">
        <v>18341</v>
      </c>
      <c r="BL150" t="inlineStr">
        <is>
          <t>Seguros Patrimoniais</t>
        </is>
      </c>
      <c r="BM150">
        <f>IFERROR(CHOOSE(MATCH($BL$6,{"Ano Completo","1º Semestre","2º Semestre","1º Trimestre","2º Trimestre","3º Trimestre","4º Trimestre"},0),SUM(BN150:BY150),SUM(BN150:BS150),SUM(BT150:BY150),SUM(BN150:BP150),SUM(BQ150:BS150),SUM(BT150:BV150),SUM(BW150:BY150)),0)</f>
        <v/>
      </c>
      <c r="BN150" t="n">
        <v>9347</v>
      </c>
      <c r="BO150" t="n">
        <v>17178</v>
      </c>
      <c r="BP150" t="n">
        <v>5495</v>
      </c>
      <c r="BQ150" t="n">
        <v>17474</v>
      </c>
      <c r="BR150" t="n">
        <v>14951</v>
      </c>
      <c r="BS150" t="n">
        <v>18940</v>
      </c>
      <c r="BT150" t="n">
        <v>12430</v>
      </c>
      <c r="BU150" t="n">
        <v>18878</v>
      </c>
      <c r="BV150" t="n">
        <v>8109</v>
      </c>
      <c r="BW150" t="n">
        <v>2259</v>
      </c>
      <c r="BX150" t="n">
        <v>19661</v>
      </c>
      <c r="BY150" t="n">
        <v>12534</v>
      </c>
      <c r="CB150" t="inlineStr">
        <is>
          <t>Seguros Patrimoniais</t>
        </is>
      </c>
      <c r="CC150">
        <f>IFERROR(CHOOSE(MATCH($CB$6,{"Ano Completo","1º Semestre","2º Semestre","1º Trimestre","2º Trimestre","3º Trimestre","4º Trimestre"},0),SUM(CD150:CO150),SUM(CD150:CI150),SUM(CJ150:CO150),SUM(CD150:CF150),SUM(CG150:CI150),SUM(CJ150:CL150),SUM(CM150:CO150)),0)</f>
        <v/>
      </c>
      <c r="CD150" t="n">
        <v>8026</v>
      </c>
      <c r="CE150" t="n">
        <v>8570</v>
      </c>
      <c r="CF150" t="n">
        <v>13189</v>
      </c>
      <c r="CG150" t="n">
        <v>8203</v>
      </c>
      <c r="CH150" t="n">
        <v>5706</v>
      </c>
      <c r="CI150" t="n">
        <v>4414</v>
      </c>
      <c r="CJ150" t="n">
        <v>11691</v>
      </c>
      <c r="CK150" t="n">
        <v>19015</v>
      </c>
      <c r="CL150" t="n">
        <v>13011</v>
      </c>
      <c r="CM150" t="n">
        <v>13161</v>
      </c>
      <c r="CN150" t="n">
        <v>7218</v>
      </c>
      <c r="CO150" t="n">
        <v>18341</v>
      </c>
      <c r="CQ150" t="inlineStr">
        <is>
          <t>Seguros Patrimoniais</t>
        </is>
      </c>
      <c r="CR150">
        <f>IFERROR(CHOOSE(MATCH($CQ$6,{"Ano Completo","1º Semestre","2º Semestre","1º Trimestre","2º Trimestre","3º Trimestre","4º Trimestre"},0),SUM(CS150:DD150),SUM(CS150:CX150),SUM(CY150:DD150),SUM(CS150:CU150),SUM(CV150:CX150),SUM(CY150:DA150),SUM(DB150:DD150)),0)</f>
        <v/>
      </c>
      <c r="CS150" t="n">
        <v>9347</v>
      </c>
      <c r="CT150" t="n">
        <v>17178</v>
      </c>
      <c r="CU150" t="n">
        <v>5495</v>
      </c>
      <c r="CV150" t="n">
        <v>17474</v>
      </c>
      <c r="CW150" t="n">
        <v>14951</v>
      </c>
      <c r="CX150" t="n">
        <v>18940</v>
      </c>
      <c r="CY150" t="n">
        <v>12430</v>
      </c>
      <c r="CZ150" t="n">
        <v>18878</v>
      </c>
      <c r="DA150" t="n">
        <v>8109</v>
      </c>
      <c r="DB150" t="n">
        <v>2259</v>
      </c>
      <c r="DC150" t="n">
        <v>19661</v>
      </c>
      <c r="DD150" t="n">
        <v>12534</v>
      </c>
      <c r="DG150" t="inlineStr">
        <is>
          <t>Seguros Patrimoniais</t>
        </is>
      </c>
      <c r="DH150">
        <f>IFERROR(CHOOSE(MATCH($DG$6,{"Ano Completo","1º Semestre","2º Semestre","1º Trimestre","2º Trimestre","3º Trimestre","4º Trimestre"},0),SUM(DI150:DT150),SUM(DI150:DN150),SUM(DO150:DT150),SUM(DI150:DK150),SUM(DL150:DN150),SUM(DO150:DQ150),SUM(DR150:DT150)),0)</f>
        <v/>
      </c>
      <c r="DI150" t="n">
        <v>8026</v>
      </c>
      <c r="DJ150" t="n">
        <v>8570</v>
      </c>
      <c r="DK150" t="n">
        <v>13189</v>
      </c>
      <c r="DL150" t="n">
        <v>8203</v>
      </c>
      <c r="DM150" t="n">
        <v>5706</v>
      </c>
      <c r="DN150" t="n">
        <v>4414</v>
      </c>
      <c r="DO150" t="n">
        <v>11691</v>
      </c>
      <c r="DP150" t="n">
        <v>19015</v>
      </c>
      <c r="DQ150" t="n">
        <v>13011</v>
      </c>
      <c r="DR150" t="n">
        <v>13161</v>
      </c>
      <c r="DS150" t="n">
        <v>7218</v>
      </c>
      <c r="DT150" t="n">
        <v>18341</v>
      </c>
      <c r="DV150" t="inlineStr">
        <is>
          <t>Seguros Patrimoniais</t>
        </is>
      </c>
      <c r="DW150">
        <f>IFERROR(CHOOSE(MATCH($DV$6,{"Ano Completo","1º Semestre","2º Semestre","1º Trimestre","2º Trimestre","3º Trimestre","4º Trimestre"},0),SUM(DX150:EI150),SUM(DX150:EC150),SUM(ED150:EI150),SUM(DX150:DZ150),SUM(EA150:EC150),SUM(ED150:EF150),SUM(EG150:EI150)),0)</f>
        <v/>
      </c>
      <c r="DX150" t="n">
        <v>9347</v>
      </c>
      <c r="DY150" t="n">
        <v>17178</v>
      </c>
      <c r="DZ150" t="n">
        <v>5495</v>
      </c>
      <c r="EA150" t="n">
        <v>17474</v>
      </c>
      <c r="EB150" t="n">
        <v>14951</v>
      </c>
      <c r="EC150" t="n">
        <v>18940</v>
      </c>
      <c r="ED150" t="n">
        <v>12430</v>
      </c>
      <c r="EE150" t="n">
        <v>18878</v>
      </c>
      <c r="EF150" t="n">
        <v>8109</v>
      </c>
      <c r="EG150" t="n">
        <v>2259</v>
      </c>
      <c r="EH150" t="n">
        <v>19661</v>
      </c>
      <c r="EI150" t="n">
        <v>12534</v>
      </c>
      <c r="EL150" t="inlineStr">
        <is>
          <t>Seguros Patrimoniais</t>
        </is>
      </c>
      <c r="EM150">
        <f>IFERROR(CHOOSE(MATCH($EL$6,{"Ano Completo","1º Semestre","2º Semestre","1º Trimestre","2º Trimestre","3º Trimestre","4º Trimestre"},0),SUM(EN150:EY150),SUM(EN150:ES150),SUM(ET150:EY150),SUM(EN150:EP150),SUM(EQ150:ES150),SUM(ET150:EV150),SUM(EW150:EY150)),0)</f>
        <v/>
      </c>
      <c r="EN150" t="n">
        <v>8026</v>
      </c>
      <c r="EO150" t="n">
        <v>8570</v>
      </c>
      <c r="EP150" t="n">
        <v>13189</v>
      </c>
      <c r="EQ150" t="n">
        <v>8203</v>
      </c>
      <c r="ER150" t="n">
        <v>5706</v>
      </c>
      <c r="ES150" t="n">
        <v>4414</v>
      </c>
      <c r="ET150" t="n">
        <v>11691</v>
      </c>
      <c r="EU150" t="n">
        <v>19015</v>
      </c>
      <c r="EV150" t="n">
        <v>13011</v>
      </c>
      <c r="EW150" t="n">
        <v>13161</v>
      </c>
      <c r="EX150" t="n">
        <v>7218</v>
      </c>
      <c r="EY150" t="n">
        <v>18341</v>
      </c>
    </row>
    <row r="151">
      <c r="B151" t="inlineStr">
        <is>
          <t>Telefonia Adm</t>
        </is>
      </c>
      <c r="C151">
        <f>IFERROR(CHOOSE(MATCH($B$6,{"Ano Completo","1º Semestre","2º Semestre","1º Trimestre","2º Trimestre","3º Trimestre","4º Trimestre"},0),SUM(D151:O151),SUM(D151:I151),SUM(J151:O151),SUM(D151:F151),SUM(G151:I151),SUM(J151:L151),SUM(M151:O151)),0)</f>
        <v/>
      </c>
      <c r="R151" t="inlineStr">
        <is>
          <t>Telefonia Adm</t>
        </is>
      </c>
      <c r="S151">
        <f>IFERROR(CHOOSE(MATCH($R$6,{"Ano Completo","1º Semestre","2º Semestre","1º Trimestre","2º Trimestre","3º Trimestre","4º Trimestre"},0),SUM(T151:AE151),SUM(T151:Y151),SUM(Z151:AE151),SUM(T151:V151),SUM(W151:Y151),SUM(Z151:AB151),SUM(AC151:AE151)),0)</f>
        <v/>
      </c>
      <c r="AG151" t="inlineStr">
        <is>
          <t>Telefonia Adm</t>
        </is>
      </c>
      <c r="AH151">
        <f>IFERROR(CHOOSE(MATCH($AG$6,{"Ano Completo","1º Semestre","2º Semestre","1º Trimestre","2º Trimestre","3º Trimestre","4º Trimestre"},0),SUM(AI151:AT151),SUM(AI151:AN151),SUM(AO151:AT151),SUM(AI151:AK151),SUM(AL151:AN151),SUM(AO151:AQ151),SUM(AR151:AT151)),0)</f>
        <v/>
      </c>
      <c r="AI151" t="n">
        <v>5507</v>
      </c>
      <c r="AJ151" t="n">
        <v>12737</v>
      </c>
      <c r="AK151" t="n">
        <v>5029</v>
      </c>
      <c r="AL151" t="n">
        <v>9676</v>
      </c>
      <c r="AM151" t="n">
        <v>4813</v>
      </c>
      <c r="AN151" t="n">
        <v>1278</v>
      </c>
      <c r="AO151" t="n">
        <v>8212</v>
      </c>
      <c r="AP151" t="n">
        <v>9076</v>
      </c>
      <c r="AQ151" t="n">
        <v>17485</v>
      </c>
      <c r="AR151" t="n">
        <v>4059</v>
      </c>
      <c r="AS151" t="n">
        <v>3553</v>
      </c>
      <c r="AT151" t="n">
        <v>15978</v>
      </c>
      <c r="AW151" t="inlineStr">
        <is>
          <t>Telefonia Adm</t>
        </is>
      </c>
      <c r="AX151">
        <f>IFERROR(CHOOSE(MATCH($AW$6,{"Ano Completo","1º Semestre","2º Semestre","1º Trimestre","2º Trimestre","3º Trimestre","4º Trimestre"},0),SUM(AY151:BJ151),SUM(AY151:BD151),SUM(BE151:BJ151),SUM(AY151:BA151),SUM(BB151:BD151),SUM(BE151:BG151),SUM(BH151:BJ151)),0)</f>
        <v/>
      </c>
      <c r="AY151" t="n">
        <v>4043</v>
      </c>
      <c r="AZ151" t="n">
        <v>3892</v>
      </c>
      <c r="BA151" t="n">
        <v>2503</v>
      </c>
      <c r="BB151" t="n">
        <v>6774</v>
      </c>
      <c r="BC151" t="n">
        <v>14262</v>
      </c>
      <c r="BD151" t="n">
        <v>17086</v>
      </c>
      <c r="BE151" t="n">
        <v>18332</v>
      </c>
      <c r="BF151" t="n">
        <v>18723</v>
      </c>
      <c r="BG151" t="n">
        <v>17856</v>
      </c>
      <c r="BH151" t="n">
        <v>19800</v>
      </c>
      <c r="BI151" t="n">
        <v>5251</v>
      </c>
      <c r="BJ151" t="n">
        <v>11245</v>
      </c>
      <c r="BL151" t="inlineStr">
        <is>
          <t>Telefonia Adm</t>
        </is>
      </c>
      <c r="BM151">
        <f>IFERROR(CHOOSE(MATCH($BL$6,{"Ano Completo","1º Semestre","2º Semestre","1º Trimestre","2º Trimestre","3º Trimestre","4º Trimestre"},0),SUM(BN151:BY151),SUM(BN151:BS151),SUM(BT151:BY151),SUM(BN151:BP151),SUM(BQ151:BS151),SUM(BT151:BV151),SUM(BW151:BY151)),0)</f>
        <v/>
      </c>
      <c r="BN151" t="n">
        <v>5507</v>
      </c>
      <c r="BO151" t="n">
        <v>12737</v>
      </c>
      <c r="BP151" t="n">
        <v>5029</v>
      </c>
      <c r="BQ151" t="n">
        <v>9676</v>
      </c>
      <c r="BR151" t="n">
        <v>4813</v>
      </c>
      <c r="BS151" t="n">
        <v>1278</v>
      </c>
      <c r="BT151" t="n">
        <v>8212</v>
      </c>
      <c r="BU151" t="n">
        <v>9076</v>
      </c>
      <c r="BV151" t="n">
        <v>17485</v>
      </c>
      <c r="BW151" t="n">
        <v>4059</v>
      </c>
      <c r="BX151" t="n">
        <v>3553</v>
      </c>
      <c r="BY151" t="n">
        <v>15978</v>
      </c>
      <c r="CB151" t="inlineStr">
        <is>
          <t>Telefonia Adm</t>
        </is>
      </c>
      <c r="CC151">
        <f>IFERROR(CHOOSE(MATCH($CB$6,{"Ano Completo","1º Semestre","2º Semestre","1º Trimestre","2º Trimestre","3º Trimestre","4º Trimestre"},0),SUM(CD151:CO151),SUM(CD151:CI151),SUM(CJ151:CO151),SUM(CD151:CF151),SUM(CG151:CI151),SUM(CJ151:CL151),SUM(CM151:CO151)),0)</f>
        <v/>
      </c>
      <c r="CD151" t="n">
        <v>4043</v>
      </c>
      <c r="CE151" t="n">
        <v>3892</v>
      </c>
      <c r="CF151" t="n">
        <v>2503</v>
      </c>
      <c r="CG151" t="n">
        <v>6774</v>
      </c>
      <c r="CH151" t="n">
        <v>14262</v>
      </c>
      <c r="CI151" t="n">
        <v>17086</v>
      </c>
      <c r="CJ151" t="n">
        <v>18332</v>
      </c>
      <c r="CK151" t="n">
        <v>18723</v>
      </c>
      <c r="CL151" t="n">
        <v>17856</v>
      </c>
      <c r="CM151" t="n">
        <v>19800</v>
      </c>
      <c r="CN151" t="n">
        <v>5251</v>
      </c>
      <c r="CO151" t="n">
        <v>11245</v>
      </c>
      <c r="CQ151" t="inlineStr">
        <is>
          <t>Telefonia Adm</t>
        </is>
      </c>
      <c r="CR151">
        <f>IFERROR(CHOOSE(MATCH($CQ$6,{"Ano Completo","1º Semestre","2º Semestre","1º Trimestre","2º Trimestre","3º Trimestre","4º Trimestre"},0),SUM(CS151:DD151),SUM(CS151:CX151),SUM(CY151:DD151),SUM(CS151:CU151),SUM(CV151:CX151),SUM(CY151:DA151),SUM(DB151:DD151)),0)</f>
        <v/>
      </c>
      <c r="CS151" t="n">
        <v>5507</v>
      </c>
      <c r="CT151" t="n">
        <v>12737</v>
      </c>
      <c r="CU151" t="n">
        <v>5029</v>
      </c>
      <c r="CV151" t="n">
        <v>9676</v>
      </c>
      <c r="CW151" t="n">
        <v>4813</v>
      </c>
      <c r="CX151" t="n">
        <v>1278</v>
      </c>
      <c r="CY151" t="n">
        <v>8212</v>
      </c>
      <c r="CZ151" t="n">
        <v>9076</v>
      </c>
      <c r="DA151" t="n">
        <v>17485</v>
      </c>
      <c r="DB151" t="n">
        <v>4059</v>
      </c>
      <c r="DC151" t="n">
        <v>3553</v>
      </c>
      <c r="DD151" t="n">
        <v>15978</v>
      </c>
      <c r="DG151" t="inlineStr">
        <is>
          <t>Telefonia Adm</t>
        </is>
      </c>
      <c r="DH151">
        <f>IFERROR(CHOOSE(MATCH($DG$6,{"Ano Completo","1º Semestre","2º Semestre","1º Trimestre","2º Trimestre","3º Trimestre","4º Trimestre"},0),SUM(DI151:DT151),SUM(DI151:DN151),SUM(DO151:DT151),SUM(DI151:DK151),SUM(DL151:DN151),SUM(DO151:DQ151),SUM(DR151:DT151)),0)</f>
        <v/>
      </c>
      <c r="DI151" t="n">
        <v>4043</v>
      </c>
      <c r="DJ151" t="n">
        <v>3892</v>
      </c>
      <c r="DK151" t="n">
        <v>2503</v>
      </c>
      <c r="DL151" t="n">
        <v>6774</v>
      </c>
      <c r="DM151" t="n">
        <v>14262</v>
      </c>
      <c r="DN151" t="n">
        <v>17086</v>
      </c>
      <c r="DO151" t="n">
        <v>18332</v>
      </c>
      <c r="DP151" t="n">
        <v>18723</v>
      </c>
      <c r="DQ151" t="n">
        <v>17856</v>
      </c>
      <c r="DR151" t="n">
        <v>19800</v>
      </c>
      <c r="DS151" t="n">
        <v>5251</v>
      </c>
      <c r="DT151" t="n">
        <v>11245</v>
      </c>
      <c r="DV151" t="inlineStr">
        <is>
          <t>Telefonia Adm</t>
        </is>
      </c>
      <c r="DW151">
        <f>IFERROR(CHOOSE(MATCH($DV$6,{"Ano Completo","1º Semestre","2º Semestre","1º Trimestre","2º Trimestre","3º Trimestre","4º Trimestre"},0),SUM(DX151:EI151),SUM(DX151:EC151),SUM(ED151:EI151),SUM(DX151:DZ151),SUM(EA151:EC151),SUM(ED151:EF151),SUM(EG151:EI151)),0)</f>
        <v/>
      </c>
      <c r="DX151" t="n">
        <v>5507</v>
      </c>
      <c r="DY151" t="n">
        <v>12737</v>
      </c>
      <c r="DZ151" t="n">
        <v>5029</v>
      </c>
      <c r="EA151" t="n">
        <v>9676</v>
      </c>
      <c r="EB151" t="n">
        <v>4813</v>
      </c>
      <c r="EC151" t="n">
        <v>1278</v>
      </c>
      <c r="ED151" t="n">
        <v>8212</v>
      </c>
      <c r="EE151" t="n">
        <v>9076</v>
      </c>
      <c r="EF151" t="n">
        <v>17485</v>
      </c>
      <c r="EG151" t="n">
        <v>4059</v>
      </c>
      <c r="EH151" t="n">
        <v>3553</v>
      </c>
      <c r="EI151" t="n">
        <v>15978</v>
      </c>
      <c r="EL151" t="inlineStr">
        <is>
          <t>Telefonia Adm</t>
        </is>
      </c>
      <c r="EM151">
        <f>IFERROR(CHOOSE(MATCH($EL$6,{"Ano Completo","1º Semestre","2º Semestre","1º Trimestre","2º Trimestre","3º Trimestre","4º Trimestre"},0),SUM(EN151:EY151),SUM(EN151:ES151),SUM(ET151:EY151),SUM(EN151:EP151),SUM(EQ151:ES151),SUM(ET151:EV151),SUM(EW151:EY151)),0)</f>
        <v/>
      </c>
      <c r="EN151" t="n">
        <v>4043</v>
      </c>
      <c r="EO151" t="n">
        <v>3892</v>
      </c>
      <c r="EP151" t="n">
        <v>2503</v>
      </c>
      <c r="EQ151" t="n">
        <v>6774</v>
      </c>
      <c r="ER151" t="n">
        <v>14262</v>
      </c>
      <c r="ES151" t="n">
        <v>17086</v>
      </c>
      <c r="ET151" t="n">
        <v>18332</v>
      </c>
      <c r="EU151" t="n">
        <v>18723</v>
      </c>
      <c r="EV151" t="n">
        <v>17856</v>
      </c>
      <c r="EW151" t="n">
        <v>19800</v>
      </c>
      <c r="EX151" t="n">
        <v>5251</v>
      </c>
      <c r="EY151" t="n">
        <v>11245</v>
      </c>
    </row>
    <row r="152">
      <c r="B152" t="inlineStr">
        <is>
          <t>Telefonia Operação</t>
        </is>
      </c>
      <c r="C152">
        <f>IFERROR(CHOOSE(MATCH($B$6,{"Ano Completo","1º Semestre","2º Semestre","1º Trimestre","2º Trimestre","3º Trimestre","4º Trimestre"},0),SUM(D152:O152),SUM(D152:I152),SUM(J152:O152),SUM(D152:F152),SUM(G152:I152),SUM(J152:L152),SUM(M152:O152)),0)</f>
        <v/>
      </c>
      <c r="R152" t="inlineStr">
        <is>
          <t>Telefonia Operação</t>
        </is>
      </c>
      <c r="S152">
        <f>IFERROR(CHOOSE(MATCH($R$6,{"Ano Completo","1º Semestre","2º Semestre","1º Trimestre","2º Trimestre","3º Trimestre","4º Trimestre"},0),SUM(T152:AE152),SUM(T152:Y152),SUM(Z152:AE152),SUM(T152:V152),SUM(W152:Y152),SUM(Z152:AB152),SUM(AC152:AE152)),0)</f>
        <v/>
      </c>
      <c r="AG152" t="inlineStr">
        <is>
          <t>Telefonia Operação</t>
        </is>
      </c>
      <c r="AH152">
        <f>IFERROR(CHOOSE(MATCH($AG$6,{"Ano Completo","1º Semestre","2º Semestre","1º Trimestre","2º Trimestre","3º Trimestre","4º Trimestre"},0),SUM(AI152:AT152),SUM(AI152:AN152),SUM(AO152:AT152),SUM(AI152:AK152),SUM(AL152:AN152),SUM(AO152:AQ152),SUM(AR152:AT152)),0)</f>
        <v/>
      </c>
      <c r="AI152" t="n">
        <v>3022</v>
      </c>
      <c r="AJ152" t="n">
        <v>19584</v>
      </c>
      <c r="AK152" t="n">
        <v>10189</v>
      </c>
      <c r="AL152" t="n">
        <v>8199</v>
      </c>
      <c r="AM152" t="n">
        <v>3662</v>
      </c>
      <c r="AN152" t="n">
        <v>2754</v>
      </c>
      <c r="AO152" t="n">
        <v>15398</v>
      </c>
      <c r="AP152" t="n">
        <v>18186</v>
      </c>
      <c r="AQ152" t="n">
        <v>19712</v>
      </c>
      <c r="AR152" t="n">
        <v>16307</v>
      </c>
      <c r="AS152" t="n">
        <v>18998</v>
      </c>
      <c r="AT152" t="n">
        <v>11114</v>
      </c>
      <c r="AW152" t="inlineStr">
        <is>
          <t>Telefonia Operação</t>
        </is>
      </c>
      <c r="AX152">
        <f>IFERROR(CHOOSE(MATCH($AW$6,{"Ano Completo","1º Semestre","2º Semestre","1º Trimestre","2º Trimestre","3º Trimestre","4º Trimestre"},0),SUM(AY152:BJ152),SUM(AY152:BD152),SUM(BE152:BJ152),SUM(AY152:BA152),SUM(BB152:BD152),SUM(BE152:BG152),SUM(BH152:BJ152)),0)</f>
        <v/>
      </c>
      <c r="AY152" t="n">
        <v>7062</v>
      </c>
      <c r="AZ152" t="n">
        <v>1785</v>
      </c>
      <c r="BA152" t="n">
        <v>12320</v>
      </c>
      <c r="BB152" t="n">
        <v>8385</v>
      </c>
      <c r="BC152" t="n">
        <v>12404</v>
      </c>
      <c r="BD152" t="n">
        <v>2760</v>
      </c>
      <c r="BE152" t="n">
        <v>1009</v>
      </c>
      <c r="BF152" t="n">
        <v>4889</v>
      </c>
      <c r="BG152" t="n">
        <v>9355</v>
      </c>
      <c r="BH152" t="n">
        <v>9830</v>
      </c>
      <c r="BI152" t="n">
        <v>15335</v>
      </c>
      <c r="BJ152" t="n">
        <v>1188</v>
      </c>
      <c r="BL152" t="inlineStr">
        <is>
          <t>Telefonia Operação</t>
        </is>
      </c>
      <c r="BM152">
        <f>IFERROR(CHOOSE(MATCH($BL$6,{"Ano Completo","1º Semestre","2º Semestre","1º Trimestre","2º Trimestre","3º Trimestre","4º Trimestre"},0),SUM(BN152:BY152),SUM(BN152:BS152),SUM(BT152:BY152),SUM(BN152:BP152),SUM(BQ152:BS152),SUM(BT152:BV152),SUM(BW152:BY152)),0)</f>
        <v/>
      </c>
      <c r="BN152" t="n">
        <v>3022</v>
      </c>
      <c r="BO152" t="n">
        <v>19584</v>
      </c>
      <c r="BP152" t="n">
        <v>10189</v>
      </c>
      <c r="BQ152" t="n">
        <v>8199</v>
      </c>
      <c r="BR152" t="n">
        <v>3662</v>
      </c>
      <c r="BS152" t="n">
        <v>2754</v>
      </c>
      <c r="BT152" t="n">
        <v>15398</v>
      </c>
      <c r="BU152" t="n">
        <v>18186</v>
      </c>
      <c r="BV152" t="n">
        <v>19712</v>
      </c>
      <c r="BW152" t="n">
        <v>16307</v>
      </c>
      <c r="BX152" t="n">
        <v>18998</v>
      </c>
      <c r="BY152" t="n">
        <v>11114</v>
      </c>
      <c r="CB152" t="inlineStr">
        <is>
          <t>Telefonia Operação</t>
        </is>
      </c>
      <c r="CC152">
        <f>IFERROR(CHOOSE(MATCH($CB$6,{"Ano Completo","1º Semestre","2º Semestre","1º Trimestre","2º Trimestre","3º Trimestre","4º Trimestre"},0),SUM(CD152:CO152),SUM(CD152:CI152),SUM(CJ152:CO152),SUM(CD152:CF152),SUM(CG152:CI152),SUM(CJ152:CL152),SUM(CM152:CO152)),0)</f>
        <v/>
      </c>
      <c r="CD152" t="n">
        <v>7062</v>
      </c>
      <c r="CE152" t="n">
        <v>1785</v>
      </c>
      <c r="CF152" t="n">
        <v>12320</v>
      </c>
      <c r="CG152" t="n">
        <v>8385</v>
      </c>
      <c r="CH152" t="n">
        <v>12404</v>
      </c>
      <c r="CI152" t="n">
        <v>2760</v>
      </c>
      <c r="CJ152" t="n">
        <v>1009</v>
      </c>
      <c r="CK152" t="n">
        <v>4889</v>
      </c>
      <c r="CL152" t="n">
        <v>9355</v>
      </c>
      <c r="CM152" t="n">
        <v>9830</v>
      </c>
      <c r="CN152" t="n">
        <v>15335</v>
      </c>
      <c r="CO152" t="n">
        <v>1188</v>
      </c>
      <c r="CQ152" t="inlineStr">
        <is>
          <t>Telefonia Operação</t>
        </is>
      </c>
      <c r="CR152">
        <f>IFERROR(CHOOSE(MATCH($CQ$6,{"Ano Completo","1º Semestre","2º Semestre","1º Trimestre","2º Trimestre","3º Trimestre","4º Trimestre"},0),SUM(CS152:DD152),SUM(CS152:CX152),SUM(CY152:DD152),SUM(CS152:CU152),SUM(CV152:CX152),SUM(CY152:DA152),SUM(DB152:DD152)),0)</f>
        <v/>
      </c>
      <c r="CS152" t="n">
        <v>3022</v>
      </c>
      <c r="CT152" t="n">
        <v>19584</v>
      </c>
      <c r="CU152" t="n">
        <v>10189</v>
      </c>
      <c r="CV152" t="n">
        <v>8199</v>
      </c>
      <c r="CW152" t="n">
        <v>3662</v>
      </c>
      <c r="CX152" t="n">
        <v>2754</v>
      </c>
      <c r="CY152" t="n">
        <v>15398</v>
      </c>
      <c r="CZ152" t="n">
        <v>18186</v>
      </c>
      <c r="DA152" t="n">
        <v>19712</v>
      </c>
      <c r="DB152" t="n">
        <v>16307</v>
      </c>
      <c r="DC152" t="n">
        <v>18998</v>
      </c>
      <c r="DD152" t="n">
        <v>11114</v>
      </c>
      <c r="DG152" t="inlineStr">
        <is>
          <t>Telefonia Operação</t>
        </is>
      </c>
      <c r="DH152">
        <f>IFERROR(CHOOSE(MATCH($DG$6,{"Ano Completo","1º Semestre","2º Semestre","1º Trimestre","2º Trimestre","3º Trimestre","4º Trimestre"},0),SUM(DI152:DT152),SUM(DI152:DN152),SUM(DO152:DT152),SUM(DI152:DK152),SUM(DL152:DN152),SUM(DO152:DQ152),SUM(DR152:DT152)),0)</f>
        <v/>
      </c>
      <c r="DI152" t="n">
        <v>7062</v>
      </c>
      <c r="DJ152" t="n">
        <v>1785</v>
      </c>
      <c r="DK152" t="n">
        <v>12320</v>
      </c>
      <c r="DL152" t="n">
        <v>8385</v>
      </c>
      <c r="DM152" t="n">
        <v>12404</v>
      </c>
      <c r="DN152" t="n">
        <v>2760</v>
      </c>
      <c r="DO152" t="n">
        <v>1009</v>
      </c>
      <c r="DP152" t="n">
        <v>4889</v>
      </c>
      <c r="DQ152" t="n">
        <v>9355</v>
      </c>
      <c r="DR152" t="n">
        <v>9830</v>
      </c>
      <c r="DS152" t="n">
        <v>15335</v>
      </c>
      <c r="DT152" t="n">
        <v>1188</v>
      </c>
      <c r="DV152" t="inlineStr">
        <is>
          <t>Telefonia Operação</t>
        </is>
      </c>
      <c r="DW152">
        <f>IFERROR(CHOOSE(MATCH($DV$6,{"Ano Completo","1º Semestre","2º Semestre","1º Trimestre","2º Trimestre","3º Trimestre","4º Trimestre"},0),SUM(DX152:EI152),SUM(DX152:EC152),SUM(ED152:EI152),SUM(DX152:DZ152),SUM(EA152:EC152),SUM(ED152:EF152),SUM(EG152:EI152)),0)</f>
        <v/>
      </c>
      <c r="DX152" t="n">
        <v>3022</v>
      </c>
      <c r="DY152" t="n">
        <v>19584</v>
      </c>
      <c r="DZ152" t="n">
        <v>10189</v>
      </c>
      <c r="EA152" t="n">
        <v>8199</v>
      </c>
      <c r="EB152" t="n">
        <v>3662</v>
      </c>
      <c r="EC152" t="n">
        <v>2754</v>
      </c>
      <c r="ED152" t="n">
        <v>15398</v>
      </c>
      <c r="EE152" t="n">
        <v>18186</v>
      </c>
      <c r="EF152" t="n">
        <v>19712</v>
      </c>
      <c r="EG152" t="n">
        <v>16307</v>
      </c>
      <c r="EH152" t="n">
        <v>18998</v>
      </c>
      <c r="EI152" t="n">
        <v>11114</v>
      </c>
      <c r="EL152" t="inlineStr">
        <is>
          <t>Telefonia Operação</t>
        </is>
      </c>
      <c r="EM152">
        <f>IFERROR(CHOOSE(MATCH($EL$6,{"Ano Completo","1º Semestre","2º Semestre","1º Trimestre","2º Trimestre","3º Trimestre","4º Trimestre"},0),SUM(EN152:EY152),SUM(EN152:ES152),SUM(ET152:EY152),SUM(EN152:EP152),SUM(EQ152:ES152),SUM(ET152:EV152),SUM(EW152:EY152)),0)</f>
        <v/>
      </c>
      <c r="EN152" t="n">
        <v>7062</v>
      </c>
      <c r="EO152" t="n">
        <v>1785</v>
      </c>
      <c r="EP152" t="n">
        <v>12320</v>
      </c>
      <c r="EQ152" t="n">
        <v>8385</v>
      </c>
      <c r="ER152" t="n">
        <v>12404</v>
      </c>
      <c r="ES152" t="n">
        <v>2760</v>
      </c>
      <c r="ET152" t="n">
        <v>1009</v>
      </c>
      <c r="EU152" t="n">
        <v>4889</v>
      </c>
      <c r="EV152" t="n">
        <v>9355</v>
      </c>
      <c r="EW152" t="n">
        <v>9830</v>
      </c>
      <c r="EX152" t="n">
        <v>15335</v>
      </c>
      <c r="EY152" t="n">
        <v>1188</v>
      </c>
    </row>
    <row r="153">
      <c r="B153" t="inlineStr">
        <is>
          <t>Locação Máquina e Equipamento</t>
        </is>
      </c>
      <c r="C153">
        <f>IFERROR(CHOOSE(MATCH($B$6,{"Ano Completo","1º Semestre","2º Semestre","1º Trimestre","2º Trimestre","3º Trimestre","4º Trimestre"},0),SUM(D153:O153),SUM(D153:I153),SUM(J153:O153),SUM(D153:F153),SUM(G153:I153),SUM(J153:L153),SUM(M153:O153)),0)</f>
        <v/>
      </c>
      <c r="R153" t="inlineStr">
        <is>
          <t>Locação Máquina e Equipamento</t>
        </is>
      </c>
      <c r="S153">
        <f>IFERROR(CHOOSE(MATCH($R$6,{"Ano Completo","1º Semestre","2º Semestre","1º Trimestre","2º Trimestre","3º Trimestre","4º Trimestre"},0),SUM(T153:AE153),SUM(T153:Y153),SUM(Z153:AE153),SUM(T153:V153),SUM(W153:Y153),SUM(Z153:AB153),SUM(AC153:AE153)),0)</f>
        <v/>
      </c>
      <c r="AG153" t="inlineStr">
        <is>
          <t>Locação Máquina e Equipamento</t>
        </is>
      </c>
      <c r="AH153">
        <f>IFERROR(CHOOSE(MATCH($AG$6,{"Ano Completo","1º Semestre","2º Semestre","1º Trimestre","2º Trimestre","3º Trimestre","4º Trimestre"},0),SUM(AI153:AT153),SUM(AI153:AN153),SUM(AO153:AT153),SUM(AI153:AK153),SUM(AL153:AN153),SUM(AO153:AQ153),SUM(AR153:AT153)),0)</f>
        <v/>
      </c>
      <c r="AI153" t="n">
        <v>12562</v>
      </c>
      <c r="AJ153" t="n">
        <v>5307</v>
      </c>
      <c r="AK153" t="n">
        <v>6624</v>
      </c>
      <c r="AL153" t="n">
        <v>17525</v>
      </c>
      <c r="AM153" t="n">
        <v>2931</v>
      </c>
      <c r="AN153" t="n">
        <v>16819</v>
      </c>
      <c r="AO153" t="n">
        <v>15601</v>
      </c>
      <c r="AP153" t="n">
        <v>16052</v>
      </c>
      <c r="AQ153" t="n">
        <v>5499</v>
      </c>
      <c r="AR153" t="n">
        <v>1136</v>
      </c>
      <c r="AS153" t="n">
        <v>14244</v>
      </c>
      <c r="AT153" t="n">
        <v>17608</v>
      </c>
      <c r="AW153" t="inlineStr">
        <is>
          <t>Locação Máquina e Equipamento</t>
        </is>
      </c>
      <c r="AX153">
        <f>IFERROR(CHOOSE(MATCH($AW$6,{"Ano Completo","1º Semestre","2º Semestre","1º Trimestre","2º Trimestre","3º Trimestre","4º Trimestre"},0),SUM(AY153:BJ153),SUM(AY153:BD153),SUM(BE153:BJ153),SUM(AY153:BA153),SUM(BB153:BD153),SUM(BE153:BG153),SUM(BH153:BJ153)),0)</f>
        <v/>
      </c>
      <c r="AY153" t="n">
        <v>10252</v>
      </c>
      <c r="AZ153" t="n">
        <v>18350</v>
      </c>
      <c r="BA153" t="n">
        <v>16965</v>
      </c>
      <c r="BB153" t="n">
        <v>7318</v>
      </c>
      <c r="BC153" t="n">
        <v>10047</v>
      </c>
      <c r="BD153" t="n">
        <v>3471</v>
      </c>
      <c r="BE153" t="n">
        <v>10136</v>
      </c>
      <c r="BF153" t="n">
        <v>7788</v>
      </c>
      <c r="BG153" t="n">
        <v>5890</v>
      </c>
      <c r="BH153" t="n">
        <v>6912</v>
      </c>
      <c r="BI153" t="n">
        <v>8477</v>
      </c>
      <c r="BJ153" t="n">
        <v>17827</v>
      </c>
      <c r="BL153" t="inlineStr">
        <is>
          <t>Locação Máquina e Equipamento</t>
        </is>
      </c>
      <c r="BM153">
        <f>IFERROR(CHOOSE(MATCH($BL$6,{"Ano Completo","1º Semestre","2º Semestre","1º Trimestre","2º Trimestre","3º Trimestre","4º Trimestre"},0),SUM(BN153:BY153),SUM(BN153:BS153),SUM(BT153:BY153),SUM(BN153:BP153),SUM(BQ153:BS153),SUM(BT153:BV153),SUM(BW153:BY153)),0)</f>
        <v/>
      </c>
      <c r="BN153" t="n">
        <v>12562</v>
      </c>
      <c r="BO153" t="n">
        <v>5307</v>
      </c>
      <c r="BP153" t="n">
        <v>6624</v>
      </c>
      <c r="BQ153" t="n">
        <v>17525</v>
      </c>
      <c r="BR153" t="n">
        <v>2931</v>
      </c>
      <c r="BS153" t="n">
        <v>16819</v>
      </c>
      <c r="BT153" t="n">
        <v>15601</v>
      </c>
      <c r="BU153" t="n">
        <v>16052</v>
      </c>
      <c r="BV153" t="n">
        <v>5499</v>
      </c>
      <c r="BW153" t="n">
        <v>1136</v>
      </c>
      <c r="BX153" t="n">
        <v>14244</v>
      </c>
      <c r="BY153" t="n">
        <v>17608</v>
      </c>
      <c r="CB153" t="inlineStr">
        <is>
          <t>Locação Máquina e Equipamento</t>
        </is>
      </c>
      <c r="CC153">
        <f>IFERROR(CHOOSE(MATCH($CB$6,{"Ano Completo","1º Semestre","2º Semestre","1º Trimestre","2º Trimestre","3º Trimestre","4º Trimestre"},0),SUM(CD153:CO153),SUM(CD153:CI153),SUM(CJ153:CO153),SUM(CD153:CF153),SUM(CG153:CI153),SUM(CJ153:CL153),SUM(CM153:CO153)),0)</f>
        <v/>
      </c>
      <c r="CD153" t="n">
        <v>10252</v>
      </c>
      <c r="CE153" t="n">
        <v>18350</v>
      </c>
      <c r="CF153" t="n">
        <v>16965</v>
      </c>
      <c r="CG153" t="n">
        <v>7318</v>
      </c>
      <c r="CH153" t="n">
        <v>10047</v>
      </c>
      <c r="CI153" t="n">
        <v>3471</v>
      </c>
      <c r="CJ153" t="n">
        <v>10136</v>
      </c>
      <c r="CK153" t="n">
        <v>7788</v>
      </c>
      <c r="CL153" t="n">
        <v>5890</v>
      </c>
      <c r="CM153" t="n">
        <v>6912</v>
      </c>
      <c r="CN153" t="n">
        <v>8477</v>
      </c>
      <c r="CO153" t="n">
        <v>17827</v>
      </c>
      <c r="CQ153" t="inlineStr">
        <is>
          <t>Locação Máquina e Equipamento</t>
        </is>
      </c>
      <c r="CR153">
        <f>IFERROR(CHOOSE(MATCH($CQ$6,{"Ano Completo","1º Semestre","2º Semestre","1º Trimestre","2º Trimestre","3º Trimestre","4º Trimestre"},0),SUM(CS153:DD153),SUM(CS153:CX153),SUM(CY153:DD153),SUM(CS153:CU153),SUM(CV153:CX153),SUM(CY153:DA153),SUM(DB153:DD153)),0)</f>
        <v/>
      </c>
      <c r="CS153" t="n">
        <v>12562</v>
      </c>
      <c r="CT153" t="n">
        <v>5307</v>
      </c>
      <c r="CU153" t="n">
        <v>6624</v>
      </c>
      <c r="CV153" t="n">
        <v>17525</v>
      </c>
      <c r="CW153" t="n">
        <v>2931</v>
      </c>
      <c r="CX153" t="n">
        <v>16819</v>
      </c>
      <c r="CY153" t="n">
        <v>15601</v>
      </c>
      <c r="CZ153" t="n">
        <v>16052</v>
      </c>
      <c r="DA153" t="n">
        <v>5499</v>
      </c>
      <c r="DB153" t="n">
        <v>1136</v>
      </c>
      <c r="DC153" t="n">
        <v>14244</v>
      </c>
      <c r="DD153" t="n">
        <v>17608</v>
      </c>
      <c r="DG153" t="inlineStr">
        <is>
          <t>Locação Máquina e Equipamento</t>
        </is>
      </c>
      <c r="DH153">
        <f>IFERROR(CHOOSE(MATCH($DG$6,{"Ano Completo","1º Semestre","2º Semestre","1º Trimestre","2º Trimestre","3º Trimestre","4º Trimestre"},0),SUM(DI153:DT153),SUM(DI153:DN153),SUM(DO153:DT153),SUM(DI153:DK153),SUM(DL153:DN153),SUM(DO153:DQ153),SUM(DR153:DT153)),0)</f>
        <v/>
      </c>
      <c r="DI153" t="n">
        <v>10252</v>
      </c>
      <c r="DJ153" t="n">
        <v>18350</v>
      </c>
      <c r="DK153" t="n">
        <v>16965</v>
      </c>
      <c r="DL153" t="n">
        <v>7318</v>
      </c>
      <c r="DM153" t="n">
        <v>10047</v>
      </c>
      <c r="DN153" t="n">
        <v>3471</v>
      </c>
      <c r="DO153" t="n">
        <v>10136</v>
      </c>
      <c r="DP153" t="n">
        <v>7788</v>
      </c>
      <c r="DQ153" t="n">
        <v>5890</v>
      </c>
      <c r="DR153" t="n">
        <v>6912</v>
      </c>
      <c r="DS153" t="n">
        <v>8477</v>
      </c>
      <c r="DT153" t="n">
        <v>17827</v>
      </c>
      <c r="DV153" t="inlineStr">
        <is>
          <t>Locação Máquina e Equipamento</t>
        </is>
      </c>
      <c r="DW153">
        <f>IFERROR(CHOOSE(MATCH($DV$6,{"Ano Completo","1º Semestre","2º Semestre","1º Trimestre","2º Trimestre","3º Trimestre","4º Trimestre"},0),SUM(DX153:EI153),SUM(DX153:EC153),SUM(ED153:EI153),SUM(DX153:DZ153),SUM(EA153:EC153),SUM(ED153:EF153),SUM(EG153:EI153)),0)</f>
        <v/>
      </c>
      <c r="DX153" t="n">
        <v>12562</v>
      </c>
      <c r="DY153" t="n">
        <v>5307</v>
      </c>
      <c r="DZ153" t="n">
        <v>6624</v>
      </c>
      <c r="EA153" t="n">
        <v>17525</v>
      </c>
      <c r="EB153" t="n">
        <v>2931</v>
      </c>
      <c r="EC153" t="n">
        <v>16819</v>
      </c>
      <c r="ED153" t="n">
        <v>15601</v>
      </c>
      <c r="EE153" t="n">
        <v>16052</v>
      </c>
      <c r="EF153" t="n">
        <v>5499</v>
      </c>
      <c r="EG153" t="n">
        <v>1136</v>
      </c>
      <c r="EH153" t="n">
        <v>14244</v>
      </c>
      <c r="EI153" t="n">
        <v>17608</v>
      </c>
      <c r="EL153" t="inlineStr">
        <is>
          <t>Locação Máquina e Equipamento</t>
        </is>
      </c>
      <c r="EM153">
        <f>IFERROR(CHOOSE(MATCH($EL$6,{"Ano Completo","1º Semestre","2º Semestre","1º Trimestre","2º Trimestre","3º Trimestre","4º Trimestre"},0),SUM(EN153:EY153),SUM(EN153:ES153),SUM(ET153:EY153),SUM(EN153:EP153),SUM(EQ153:ES153),SUM(ET153:EV153),SUM(EW153:EY153)),0)</f>
        <v/>
      </c>
      <c r="EN153" t="n">
        <v>10252</v>
      </c>
      <c r="EO153" t="n">
        <v>18350</v>
      </c>
      <c r="EP153" t="n">
        <v>16965</v>
      </c>
      <c r="EQ153" t="n">
        <v>7318</v>
      </c>
      <c r="ER153" t="n">
        <v>10047</v>
      </c>
      <c r="ES153" t="n">
        <v>3471</v>
      </c>
      <c r="ET153" t="n">
        <v>10136</v>
      </c>
      <c r="EU153" t="n">
        <v>7788</v>
      </c>
      <c r="EV153" t="n">
        <v>5890</v>
      </c>
      <c r="EW153" t="n">
        <v>6912</v>
      </c>
      <c r="EX153" t="n">
        <v>8477</v>
      </c>
      <c r="EY153" t="n">
        <v>17827</v>
      </c>
    </row>
    <row r="154">
      <c r="B154" t="inlineStr">
        <is>
          <t>Demais despesas com infra</t>
        </is>
      </c>
      <c r="C154">
        <f>IFERROR(CHOOSE(MATCH($B$6,{"Ano Completo","1º Semestre","2º Semestre","1º Trimestre","2º Trimestre","3º Trimestre","4º Trimestre"},0),SUM(D154:O154),SUM(D154:I154),SUM(J154:O154),SUM(D154:F154),SUM(G154:I154),SUM(J154:L154),SUM(M154:O154)),0)</f>
        <v/>
      </c>
      <c r="R154" t="inlineStr">
        <is>
          <t>Demais despesas com infra</t>
        </is>
      </c>
      <c r="S154">
        <f>IFERROR(CHOOSE(MATCH($R$6,{"Ano Completo","1º Semestre","2º Semestre","1º Trimestre","2º Trimestre","3º Trimestre","4º Trimestre"},0),SUM(T154:AE154),SUM(T154:Y154),SUM(Z154:AE154),SUM(T154:V154),SUM(W154:Y154),SUM(Z154:AB154),SUM(AC154:AE154)),0)</f>
        <v/>
      </c>
      <c r="AG154" t="inlineStr">
        <is>
          <t>Demais despesas com infra</t>
        </is>
      </c>
      <c r="AH154">
        <f>IFERROR(CHOOSE(MATCH($AG$6,{"Ano Completo","1º Semestre","2º Semestre","1º Trimestre","2º Trimestre","3º Trimestre","4º Trimestre"},0),SUM(AI154:AT154),SUM(AI154:AN154),SUM(AO154:AT154),SUM(AI154:AK154),SUM(AL154:AN154),SUM(AO154:AQ154),SUM(AR154:AT154)),0)</f>
        <v/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W154" t="inlineStr">
        <is>
          <t>Demais despesas com infra</t>
        </is>
      </c>
      <c r="AX154">
        <f>IFERROR(CHOOSE(MATCH($AW$6,{"Ano Completo","1º Semestre","2º Semestre","1º Trimestre","2º Trimestre","3º Trimestre","4º Trimestre"},0),SUM(AY154:BJ154),SUM(AY154:BD154),SUM(BE154:BJ154),SUM(AY154:BA154),SUM(BB154:BD154),SUM(BE154:BG154),SUM(BH154:BJ154)),0)</f>
        <v/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L154" t="inlineStr">
        <is>
          <t>Demais despesas com infra</t>
        </is>
      </c>
      <c r="BM154">
        <f>IFERROR(CHOOSE(MATCH($BL$6,{"Ano Completo","1º Semestre","2º Semestre","1º Trimestre","2º Trimestre","3º Trimestre","4º Trimestre"},0),SUM(BN154:BY154),SUM(BN154:BS154),SUM(BT154:BY154),SUM(BN154:BP154),SUM(BQ154:BS154),SUM(BT154:BV154),SUM(BW154:BY154)),0)</f>
        <v/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CB154" t="inlineStr">
        <is>
          <t>Demais despesas com infra</t>
        </is>
      </c>
      <c r="CC154">
        <f>IFERROR(CHOOSE(MATCH($CB$6,{"Ano Completo","1º Semestre","2º Semestre","1º Trimestre","2º Trimestre","3º Trimestre","4º Trimestre"},0),SUM(CD154:CO154),SUM(CD154:CI154),SUM(CJ154:CO154),SUM(CD154:CF154),SUM(CG154:CI154),SUM(CJ154:CL154),SUM(CM154:CO154)),0)</f>
        <v/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Q154" t="inlineStr">
        <is>
          <t>Demais despesas com infra</t>
        </is>
      </c>
      <c r="CR154">
        <f>IFERROR(CHOOSE(MATCH($CQ$6,{"Ano Completo","1º Semestre","2º Semestre","1º Trimestre","2º Trimestre","3º Trimestre","4º Trimestre"},0),SUM(CS154:DD154),SUM(CS154:CX154),SUM(CY154:DD154),SUM(CS154:CU154),SUM(CV154:CX154),SUM(CY154:DA154),SUM(DB154:DD154)),0)</f>
        <v/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G154" t="inlineStr">
        <is>
          <t>Demais despesas com infra</t>
        </is>
      </c>
      <c r="DH154">
        <f>IFERROR(CHOOSE(MATCH($DG$6,{"Ano Completo","1º Semestre","2º Semestre","1º Trimestre","2º Trimestre","3º Trimestre","4º Trimestre"},0),SUM(DI154:DT154),SUM(DI154:DN154),SUM(DO154:DT154),SUM(DI154:DK154),SUM(DL154:DN154),SUM(DO154:DQ154),SUM(DR154:DT154)),0)</f>
        <v/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V154" t="inlineStr">
        <is>
          <t>Demais despesas com infra</t>
        </is>
      </c>
      <c r="DW154">
        <f>IFERROR(CHOOSE(MATCH($DV$6,{"Ano Completo","1º Semestre","2º Semestre","1º Trimestre","2º Trimestre","3º Trimestre","4º Trimestre"},0),SUM(DX154:EI154),SUM(DX154:EC154),SUM(ED154:EI154),SUM(DX154:DZ154),SUM(EA154:EC154),SUM(ED154:EF154),SUM(EG154:EI154)),0)</f>
        <v/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L154" t="inlineStr">
        <is>
          <t>Demais despesas com infra</t>
        </is>
      </c>
      <c r="EM154">
        <f>IFERROR(CHOOSE(MATCH($EL$6,{"Ano Completo","1º Semestre","2º Semestre","1º Trimestre","2º Trimestre","3º Trimestre","4º Trimestre"},0),SUM(EN154:EY154),SUM(EN154:ES154),SUM(ET154:EY154),SUM(EN154:EP154),SUM(EQ154:ES154),SUM(ET154:EV154),SUM(EW154:EY154)),0)</f>
        <v/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</row>
    <row r="157">
      <c r="B157" s="4" t="inlineStr">
        <is>
          <t>Overhead - Rateio Equipe Administrativa (finanças, comercial, marketing, manutenção, etc)</t>
        </is>
      </c>
      <c r="C157">
        <f>IFERROR(CHOOSE(MATCH($B$6,{"Ano Completo","1º Semestre","2º Semestre","1º Trimestre","2º Trimestre","3º Trimestre","4º Trimestre"},0),SUM(D157:O157),SUM(D157:I157),SUM(J157:O157),SUM(D157:F157),SUM(G157:I157),SUM(J157:L157),SUM(M157:O157)),0)</f>
        <v/>
      </c>
      <c r="R157" s="4" t="inlineStr">
        <is>
          <t>Overhead - Rateio Equipe Administrativa (finanças, comercial, marketing, manutenção, etc)</t>
        </is>
      </c>
      <c r="S157">
        <f>IFERROR(CHOOSE(MATCH($R$6,{"Ano Completo","1º Semestre","2º Semestre","1º Trimestre","2º Trimestre","3º Trimestre","4º Trimestre"},0),SUM(T157:AE157),SUM(T157:Y157),SUM(Z157:AE157),SUM(T157:V157),SUM(W157:Y157),SUM(Z157:AB157),SUM(AC157:AE157)),0)</f>
        <v/>
      </c>
      <c r="AG157" s="4" t="inlineStr">
        <is>
          <t>Overhead - Rateio Equipe Administrativa (finanças, comercial, marketing, manutenção, etc)</t>
        </is>
      </c>
      <c r="AH157">
        <f>IFERROR(CHOOSE(MATCH($AG$6,{"Ano Completo","1º Semestre","2º Semestre","1º Trimestre","2º Trimestre","3º Trimestre","4º Trimestre"},0),SUM(AI157:AT157),SUM(AI157:AN157),SUM(AO157:AT157),SUM(AI157:AK157),SUM(AL157:AN157),SUM(AO157:AQ157),SUM(AR157:AT157)),0)</f>
        <v/>
      </c>
      <c r="AI157" t="n">
        <v>15850</v>
      </c>
      <c r="AJ157" t="n">
        <v>17089</v>
      </c>
      <c r="AK157" t="n">
        <v>14757</v>
      </c>
      <c r="AL157" t="n">
        <v>19869</v>
      </c>
      <c r="AM157" t="n">
        <v>15365</v>
      </c>
      <c r="AN157" t="n">
        <v>13844</v>
      </c>
      <c r="AO157" t="n">
        <v>3728</v>
      </c>
      <c r="AP157" t="n">
        <v>14809</v>
      </c>
      <c r="AQ157" t="n">
        <v>13472</v>
      </c>
      <c r="AR157" t="n">
        <v>6311</v>
      </c>
      <c r="AS157" t="n">
        <v>7699</v>
      </c>
      <c r="AT157" t="n">
        <v>1045</v>
      </c>
      <c r="AW157" s="4" t="inlineStr">
        <is>
          <t>Overhead - Rateio Equipe Administrativa (finanças, comercial, marketing, manutenção, etc)</t>
        </is>
      </c>
      <c r="AX157">
        <f>IFERROR(CHOOSE(MATCH($AW$6,{"Ano Completo","1º Semestre","2º Semestre","1º Trimestre","2º Trimestre","3º Trimestre","4º Trimestre"},0),SUM(AY157:BJ157),SUM(AY157:BD157),SUM(BE157:BJ157),SUM(AY157:BA157),SUM(BB157:BD157),SUM(BE157:BG157),SUM(BH157:BJ157)),0)</f>
        <v/>
      </c>
      <c r="AY157" t="n">
        <v>18722</v>
      </c>
      <c r="AZ157" t="n">
        <v>5470</v>
      </c>
      <c r="BA157" t="n">
        <v>16135</v>
      </c>
      <c r="BB157" t="n">
        <v>15401</v>
      </c>
      <c r="BC157" t="n">
        <v>1221</v>
      </c>
      <c r="BD157" t="n">
        <v>5721</v>
      </c>
      <c r="BE157" t="n">
        <v>17791</v>
      </c>
      <c r="BF157" t="n">
        <v>16550</v>
      </c>
      <c r="BG157" t="n">
        <v>10219</v>
      </c>
      <c r="BH157" t="n">
        <v>18337</v>
      </c>
      <c r="BI157" t="n">
        <v>19016</v>
      </c>
      <c r="BJ157" t="n">
        <v>5565</v>
      </c>
      <c r="BL157" s="4" t="inlineStr">
        <is>
          <t>Overhead - Rateio Equipe Administrativa (finanças, comercial, marketing, manutenção, etc)</t>
        </is>
      </c>
      <c r="BM157">
        <f>IFERROR(CHOOSE(MATCH($BL$6,{"Ano Completo","1º Semestre","2º Semestre","1º Trimestre","2º Trimestre","3º Trimestre","4º Trimestre"},0),SUM(BN157:BY157),SUM(BN157:BS157),SUM(BT157:BY157),SUM(BN157:BP157),SUM(BQ157:BS157),SUM(BT157:BV157),SUM(BW157:BY157)),0)</f>
        <v/>
      </c>
      <c r="BN157" t="n">
        <v>15850</v>
      </c>
      <c r="BO157" t="n">
        <v>17089</v>
      </c>
      <c r="BP157" t="n">
        <v>14757</v>
      </c>
      <c r="BQ157" t="n">
        <v>19869</v>
      </c>
      <c r="BR157" t="n">
        <v>15365</v>
      </c>
      <c r="BS157" t="n">
        <v>13844</v>
      </c>
      <c r="BT157" t="n">
        <v>3728</v>
      </c>
      <c r="BU157" t="n">
        <v>14809</v>
      </c>
      <c r="BV157" t="n">
        <v>13472</v>
      </c>
      <c r="BW157" t="n">
        <v>6311</v>
      </c>
      <c r="BX157" t="n">
        <v>7699</v>
      </c>
      <c r="BY157" t="n">
        <v>1045</v>
      </c>
      <c r="CB157" s="4" t="inlineStr">
        <is>
          <t>Overhead - Rateio Equipe Administrativa (finanças, comercial, marketing, manutenção, etc)</t>
        </is>
      </c>
      <c r="CC157">
        <f>IFERROR(CHOOSE(MATCH($CB$6,{"Ano Completo","1º Semestre","2º Semestre","1º Trimestre","2º Trimestre","3º Trimestre","4º Trimestre"},0),SUM(CD157:CO157),SUM(CD157:CI157),SUM(CJ157:CO157),SUM(CD157:CF157),SUM(CG157:CI157),SUM(CJ157:CL157),SUM(CM157:CO157)),0)</f>
        <v/>
      </c>
      <c r="CD157" t="n">
        <v>18722</v>
      </c>
      <c r="CE157" t="n">
        <v>5470</v>
      </c>
      <c r="CF157" t="n">
        <v>16135</v>
      </c>
      <c r="CG157" t="n">
        <v>15401</v>
      </c>
      <c r="CH157" t="n">
        <v>1221</v>
      </c>
      <c r="CI157" t="n">
        <v>5721</v>
      </c>
      <c r="CJ157" t="n">
        <v>17791</v>
      </c>
      <c r="CK157" t="n">
        <v>16550</v>
      </c>
      <c r="CL157" t="n">
        <v>10219</v>
      </c>
      <c r="CM157" t="n">
        <v>18337</v>
      </c>
      <c r="CN157" t="n">
        <v>19016</v>
      </c>
      <c r="CO157" t="n">
        <v>5565</v>
      </c>
      <c r="CQ157" s="4" t="inlineStr">
        <is>
          <t>Overhead - Rateio Equipe Administrativa (finanças, comercial, marketing, manutenção, etc)</t>
        </is>
      </c>
      <c r="CR157">
        <f>IFERROR(CHOOSE(MATCH($CQ$6,{"Ano Completo","1º Semestre","2º Semestre","1º Trimestre","2º Trimestre","3º Trimestre","4º Trimestre"},0),SUM(CS157:DD157),SUM(CS157:CX157),SUM(CY157:DD157),SUM(CS157:CU157),SUM(CV157:CX157),SUM(CY157:DA157),SUM(DB157:DD157)),0)</f>
        <v/>
      </c>
      <c r="CS157" t="n">
        <v>15850</v>
      </c>
      <c r="CT157" t="n">
        <v>17089</v>
      </c>
      <c r="CU157" t="n">
        <v>14757</v>
      </c>
      <c r="CV157" t="n">
        <v>19869</v>
      </c>
      <c r="CW157" t="n">
        <v>15365</v>
      </c>
      <c r="CX157" t="n">
        <v>13844</v>
      </c>
      <c r="CY157" t="n">
        <v>3728</v>
      </c>
      <c r="CZ157" t="n">
        <v>14809</v>
      </c>
      <c r="DA157" t="n">
        <v>13472</v>
      </c>
      <c r="DB157" t="n">
        <v>6311</v>
      </c>
      <c r="DC157" t="n">
        <v>7699</v>
      </c>
      <c r="DD157" t="n">
        <v>1045</v>
      </c>
      <c r="DG157" s="4" t="inlineStr">
        <is>
          <t>Overhead - Rateio Equipe Administrativa (finanças, comercial, marketing, manutenção, etc)</t>
        </is>
      </c>
      <c r="DH157">
        <f>IFERROR(CHOOSE(MATCH($DG$6,{"Ano Completo","1º Semestre","2º Semestre","1º Trimestre","2º Trimestre","3º Trimestre","4º Trimestre"},0),SUM(DI157:DT157),SUM(DI157:DN157),SUM(DO157:DT157),SUM(DI157:DK157),SUM(DL157:DN157),SUM(DO157:DQ157),SUM(DR157:DT157)),0)</f>
        <v/>
      </c>
      <c r="DI157" t="n">
        <v>18722</v>
      </c>
      <c r="DJ157" t="n">
        <v>5470</v>
      </c>
      <c r="DK157" t="n">
        <v>16135</v>
      </c>
      <c r="DL157" t="n">
        <v>15401</v>
      </c>
      <c r="DM157" t="n">
        <v>1221</v>
      </c>
      <c r="DN157" t="n">
        <v>5721</v>
      </c>
      <c r="DO157" t="n">
        <v>17791</v>
      </c>
      <c r="DP157" t="n">
        <v>16550</v>
      </c>
      <c r="DQ157" t="n">
        <v>10219</v>
      </c>
      <c r="DR157" t="n">
        <v>18337</v>
      </c>
      <c r="DS157" t="n">
        <v>19016</v>
      </c>
      <c r="DT157" t="n">
        <v>5565</v>
      </c>
      <c r="DV157" s="4" t="inlineStr">
        <is>
          <t>Overhead - Rateio Equipe Administrativa (finanças, comercial, marketing, manutenção, etc)</t>
        </is>
      </c>
      <c r="DW157">
        <f>IFERROR(CHOOSE(MATCH($DV$6,{"Ano Completo","1º Semestre","2º Semestre","1º Trimestre","2º Trimestre","3º Trimestre","4º Trimestre"},0),SUM(DX157:EI157),SUM(DX157:EC157),SUM(ED157:EI157),SUM(DX157:DZ157),SUM(EA157:EC157),SUM(ED157:EF157),SUM(EG157:EI157)),0)</f>
        <v/>
      </c>
      <c r="DX157" t="n">
        <v>15850</v>
      </c>
      <c r="DY157" t="n">
        <v>17089</v>
      </c>
      <c r="DZ157" t="n">
        <v>14757</v>
      </c>
      <c r="EA157" t="n">
        <v>19869</v>
      </c>
      <c r="EB157" t="n">
        <v>15365</v>
      </c>
      <c r="EC157" t="n">
        <v>13844</v>
      </c>
      <c r="ED157" t="n">
        <v>3728</v>
      </c>
      <c r="EE157" t="n">
        <v>14809</v>
      </c>
      <c r="EF157" t="n">
        <v>13472</v>
      </c>
      <c r="EG157" t="n">
        <v>6311</v>
      </c>
      <c r="EH157" t="n">
        <v>7699</v>
      </c>
      <c r="EI157" t="n">
        <v>1045</v>
      </c>
      <c r="EL157" s="4" t="inlineStr">
        <is>
          <t>Overhead - Rateio Equipe Administrativa (finanças, comercial, marketing, manutenção, etc)</t>
        </is>
      </c>
      <c r="EM157">
        <f>IFERROR(CHOOSE(MATCH($EL$6,{"Ano Completo","1º Semestre","2º Semestre","1º Trimestre","2º Trimestre","3º Trimestre","4º Trimestre"},0),SUM(EN157:EY157),SUM(EN157:ES157),SUM(ET157:EY157),SUM(EN157:EP157),SUM(EQ157:ES157),SUM(ET157:EV157),SUM(EW157:EY157)),0)</f>
        <v/>
      </c>
      <c r="EN157" t="n">
        <v>18722</v>
      </c>
      <c r="EO157" t="n">
        <v>5470</v>
      </c>
      <c r="EP157" t="n">
        <v>16135</v>
      </c>
      <c r="EQ157" t="n">
        <v>15401</v>
      </c>
      <c r="ER157" t="n">
        <v>1221</v>
      </c>
      <c r="ES157" t="n">
        <v>5721</v>
      </c>
      <c r="ET157" t="n">
        <v>17791</v>
      </c>
      <c r="EU157" t="n">
        <v>16550</v>
      </c>
      <c r="EV157" t="n">
        <v>10219</v>
      </c>
      <c r="EW157" t="n">
        <v>18337</v>
      </c>
      <c r="EX157" t="n">
        <v>19016</v>
      </c>
      <c r="EY157" t="n">
        <v>5565</v>
      </c>
    </row>
    <row r="160">
      <c r="B160" t="inlineStr">
        <is>
          <t>Outras despesas Oper.</t>
        </is>
      </c>
      <c r="C160">
        <f>IFERROR(CHOOSE(MATCH($B$6,{"Ano Completo","1º Semestre","2º Semestre","1º Trimestre","2º Trimestre","3º Trimestre","4º Trimestre"},0),SUM(D160:O160),SUM(D160:I160),SUM(J160:O160),SUM(D160:F160),SUM(G160:I160),SUM(J160:L160),SUM(M160:O160)),0)</f>
        <v/>
      </c>
      <c r="R160" t="inlineStr">
        <is>
          <t>Outras despesas Oper.</t>
        </is>
      </c>
      <c r="S160">
        <f>IFERROR(CHOOSE(MATCH($R$6,{"Ano Completo","1º Semestre","2º Semestre","1º Trimestre","2º Trimestre","3º Trimestre","4º Trimestre"},0),SUM(T160:AE160),SUM(T160:Y160),SUM(Z160:AE160),SUM(T160:V160),SUM(W160:Y160),SUM(Z160:AB160),SUM(AC160:AE160)),0)</f>
        <v/>
      </c>
      <c r="AG160" t="inlineStr">
        <is>
          <t>Outras despesas Oper.</t>
        </is>
      </c>
      <c r="AH160">
        <f>IFERROR(CHOOSE(MATCH($AG$6,{"Ano Completo","1º Semestre","2º Semestre","1º Trimestre","2º Trimestre","3º Trimestre","4º Trimestre"},0),SUM(AI160:AT160),SUM(AI160:AN160),SUM(AO160:AT160),SUM(AI160:AK160),SUM(AL160:AN160),SUM(AO160:AQ160),SUM(AR160:AT160)),0)</f>
        <v/>
      </c>
      <c r="AI160" t="n">
        <v>104880</v>
      </c>
      <c r="AJ160" t="n">
        <v>121828</v>
      </c>
      <c r="AK160" t="n">
        <v>142014</v>
      </c>
      <c r="AL160" t="n">
        <v>130077</v>
      </c>
      <c r="AM160" t="n">
        <v>125071</v>
      </c>
      <c r="AN160" t="n">
        <v>164796</v>
      </c>
      <c r="AO160" t="n">
        <v>121433</v>
      </c>
      <c r="AP160" t="n">
        <v>159303</v>
      </c>
      <c r="AQ160" t="n">
        <v>142335</v>
      </c>
      <c r="AR160" t="n">
        <v>120425</v>
      </c>
      <c r="AS160" t="n">
        <v>145379</v>
      </c>
      <c r="AT160" t="n">
        <v>116400</v>
      </c>
      <c r="AW160" t="inlineStr">
        <is>
          <t>Outras despesas Oper.</t>
        </is>
      </c>
      <c r="AX160">
        <f>IFERROR(CHOOSE(MATCH($AW$6,{"Ano Completo","1º Semestre","2º Semestre","1º Trimestre","2º Trimestre","3º Trimestre","4º Trimestre"},0),SUM(AY160:BJ160),SUM(AY160:BD160),SUM(BE160:BJ160),SUM(AY160:BA160),SUM(BB160:BD160),SUM(BE160:BG160),SUM(BH160:BJ160)),0)</f>
        <v/>
      </c>
      <c r="AY160" t="n">
        <v>143933</v>
      </c>
      <c r="AZ160" t="n">
        <v>104543</v>
      </c>
      <c r="BA160" t="n">
        <v>127079</v>
      </c>
      <c r="BB160" t="n">
        <v>106012</v>
      </c>
      <c r="BC160" t="n">
        <v>91996</v>
      </c>
      <c r="BD160" t="n">
        <v>108841</v>
      </c>
      <c r="BE160" t="n">
        <v>89120</v>
      </c>
      <c r="BF160" t="n">
        <v>118573</v>
      </c>
      <c r="BG160" t="n">
        <v>137331</v>
      </c>
      <c r="BH160" t="n">
        <v>109129</v>
      </c>
      <c r="BI160" t="n">
        <v>104118</v>
      </c>
      <c r="BJ160" t="n">
        <v>120537</v>
      </c>
      <c r="BL160" t="inlineStr">
        <is>
          <t>Outras despesas Oper.</t>
        </is>
      </c>
      <c r="BM160">
        <f>IFERROR(CHOOSE(MATCH($BL$6,{"Ano Completo","1º Semestre","2º Semestre","1º Trimestre","2º Trimestre","3º Trimestre","4º Trimestre"},0),SUM(BN160:BY160),SUM(BN160:BS160),SUM(BT160:BY160),SUM(BN160:BP160),SUM(BQ160:BS160),SUM(BT160:BV160),SUM(BW160:BY160)),0)</f>
        <v/>
      </c>
      <c r="BN160" t="n">
        <v>104880</v>
      </c>
      <c r="BO160" t="n">
        <v>121828</v>
      </c>
      <c r="BP160" t="n">
        <v>142014</v>
      </c>
      <c r="BQ160" t="n">
        <v>130077</v>
      </c>
      <c r="BR160" t="n">
        <v>125071</v>
      </c>
      <c r="BS160" t="n">
        <v>164796</v>
      </c>
      <c r="BT160" t="n">
        <v>121433</v>
      </c>
      <c r="BU160" t="n">
        <v>159303</v>
      </c>
      <c r="BV160" t="n">
        <v>142335</v>
      </c>
      <c r="BW160" t="n">
        <v>120425</v>
      </c>
      <c r="BX160" t="n">
        <v>145379</v>
      </c>
      <c r="BY160" t="n">
        <v>116400</v>
      </c>
      <c r="CB160" t="inlineStr">
        <is>
          <t>Outras despesas Oper.</t>
        </is>
      </c>
      <c r="CC160">
        <f>IFERROR(CHOOSE(MATCH($CB$6,{"Ano Completo","1º Semestre","2º Semestre","1º Trimestre","2º Trimestre","3º Trimestre","4º Trimestre"},0),SUM(CD160:CO160),SUM(CD160:CI160),SUM(CJ160:CO160),SUM(CD160:CF160),SUM(CG160:CI160),SUM(CJ160:CL160),SUM(CM160:CO160)),0)</f>
        <v/>
      </c>
      <c r="CD160" t="n">
        <v>143933</v>
      </c>
      <c r="CE160" t="n">
        <v>104543</v>
      </c>
      <c r="CF160" t="n">
        <v>127079</v>
      </c>
      <c r="CG160" t="n">
        <v>106012</v>
      </c>
      <c r="CH160" t="n">
        <v>91996</v>
      </c>
      <c r="CI160" t="n">
        <v>108841</v>
      </c>
      <c r="CJ160" t="n">
        <v>89120</v>
      </c>
      <c r="CK160" t="n">
        <v>118573</v>
      </c>
      <c r="CL160" t="n">
        <v>137331</v>
      </c>
      <c r="CM160" t="n">
        <v>109129</v>
      </c>
      <c r="CN160" t="n">
        <v>104118</v>
      </c>
      <c r="CO160" t="n">
        <v>120537</v>
      </c>
      <c r="CQ160" t="inlineStr">
        <is>
          <t>Outras despesas Oper.</t>
        </is>
      </c>
      <c r="CR160">
        <f>IFERROR(CHOOSE(MATCH($CQ$6,{"Ano Completo","1º Semestre","2º Semestre","1º Trimestre","2º Trimestre","3º Trimestre","4º Trimestre"},0),SUM(CS160:DD160),SUM(CS160:CX160),SUM(CY160:DD160),SUM(CS160:CU160),SUM(CV160:CX160),SUM(CY160:DA160),SUM(DB160:DD160)),0)</f>
        <v/>
      </c>
      <c r="CS160" t="n">
        <v>104880</v>
      </c>
      <c r="CT160" t="n">
        <v>121828</v>
      </c>
      <c r="CU160" t="n">
        <v>142014</v>
      </c>
      <c r="CV160" t="n">
        <v>130077</v>
      </c>
      <c r="CW160" t="n">
        <v>125071</v>
      </c>
      <c r="CX160" t="n">
        <v>164796</v>
      </c>
      <c r="CY160" t="n">
        <v>121433</v>
      </c>
      <c r="CZ160" t="n">
        <v>159303</v>
      </c>
      <c r="DA160" t="n">
        <v>142335</v>
      </c>
      <c r="DB160" t="n">
        <v>120425</v>
      </c>
      <c r="DC160" t="n">
        <v>145379</v>
      </c>
      <c r="DD160" t="n">
        <v>116400</v>
      </c>
      <c r="DG160" t="inlineStr">
        <is>
          <t>Outras despesas Oper.</t>
        </is>
      </c>
      <c r="DH160">
        <f>IFERROR(CHOOSE(MATCH($DG$6,{"Ano Completo","1º Semestre","2º Semestre","1º Trimestre","2º Trimestre","3º Trimestre","4º Trimestre"},0),SUM(DI160:DT160),SUM(DI160:DN160),SUM(DO160:DT160),SUM(DI160:DK160),SUM(DL160:DN160),SUM(DO160:DQ160),SUM(DR160:DT160)),0)</f>
        <v/>
      </c>
      <c r="DI160" t="n">
        <v>143933</v>
      </c>
      <c r="DJ160" t="n">
        <v>104543</v>
      </c>
      <c r="DK160" t="n">
        <v>127079</v>
      </c>
      <c r="DL160" t="n">
        <v>106012</v>
      </c>
      <c r="DM160" t="n">
        <v>91996</v>
      </c>
      <c r="DN160" t="n">
        <v>108841</v>
      </c>
      <c r="DO160" t="n">
        <v>89120</v>
      </c>
      <c r="DP160" t="n">
        <v>118573</v>
      </c>
      <c r="DQ160" t="n">
        <v>137331</v>
      </c>
      <c r="DR160" t="n">
        <v>109129</v>
      </c>
      <c r="DS160" t="n">
        <v>104118</v>
      </c>
      <c r="DT160" t="n">
        <v>120537</v>
      </c>
      <c r="DV160" t="inlineStr">
        <is>
          <t>Outras despesas Oper.</t>
        </is>
      </c>
      <c r="DW160">
        <f>IFERROR(CHOOSE(MATCH($DV$6,{"Ano Completo","1º Semestre","2º Semestre","1º Trimestre","2º Trimestre","3º Trimestre","4º Trimestre"},0),SUM(DX160:EI160),SUM(DX160:EC160),SUM(ED160:EI160),SUM(DX160:DZ160),SUM(EA160:EC160),SUM(ED160:EF160),SUM(EG160:EI160)),0)</f>
        <v/>
      </c>
      <c r="DX160" t="n">
        <v>104880</v>
      </c>
      <c r="DY160" t="n">
        <v>121828</v>
      </c>
      <c r="DZ160" t="n">
        <v>142014</v>
      </c>
      <c r="EA160" t="n">
        <v>130077</v>
      </c>
      <c r="EB160" t="n">
        <v>125071</v>
      </c>
      <c r="EC160" t="n">
        <v>164796</v>
      </c>
      <c r="ED160" t="n">
        <v>121433</v>
      </c>
      <c r="EE160" t="n">
        <v>159303</v>
      </c>
      <c r="EF160" t="n">
        <v>142335</v>
      </c>
      <c r="EG160" t="n">
        <v>120425</v>
      </c>
      <c r="EH160" t="n">
        <v>145379</v>
      </c>
      <c r="EI160" t="n">
        <v>116400</v>
      </c>
      <c r="EL160" t="inlineStr">
        <is>
          <t>Outras despesas Oper.</t>
        </is>
      </c>
      <c r="EM160">
        <f>IFERROR(CHOOSE(MATCH($EL$6,{"Ano Completo","1º Semestre","2º Semestre","1º Trimestre","2º Trimestre","3º Trimestre","4º Trimestre"},0),SUM(EN160:EY160),SUM(EN160:ES160),SUM(ET160:EY160),SUM(EN160:EP160),SUM(EQ160:ES160),SUM(ET160:EV160),SUM(EW160:EY160)),0)</f>
        <v/>
      </c>
      <c r="EN160" t="n">
        <v>143933</v>
      </c>
      <c r="EO160" t="n">
        <v>104543</v>
      </c>
      <c r="EP160" t="n">
        <v>127079</v>
      </c>
      <c r="EQ160" t="n">
        <v>106012</v>
      </c>
      <c r="ER160" t="n">
        <v>91996</v>
      </c>
      <c r="ES160" t="n">
        <v>108841</v>
      </c>
      <c r="ET160" t="n">
        <v>89120</v>
      </c>
      <c r="EU160" t="n">
        <v>118573</v>
      </c>
      <c r="EV160" t="n">
        <v>137331</v>
      </c>
      <c r="EW160" t="n">
        <v>109129</v>
      </c>
      <c r="EX160" t="n">
        <v>104118</v>
      </c>
      <c r="EY160" t="n">
        <v>120537</v>
      </c>
    </row>
    <row r="162">
      <c r="B162" t="inlineStr">
        <is>
          <t>Campanhas e Eventos</t>
        </is>
      </c>
      <c r="C162">
        <f>IFERROR(CHOOSE(MATCH($B$6,{"Ano Completo","1º Semestre","2º Semestre","1º Trimestre","2º Trimestre","3º Trimestre","4º Trimestre"},0),SUM(D162:O162),SUM(D162:I162),SUM(J162:O162),SUM(D162:F162),SUM(G162:I162),SUM(J162:L162),SUM(M162:O162)),0)</f>
        <v/>
      </c>
      <c r="R162" t="inlineStr">
        <is>
          <t>Campanhas e Eventos</t>
        </is>
      </c>
      <c r="S162">
        <f>IFERROR(CHOOSE(MATCH($R$6,{"Ano Completo","1º Semestre","2º Semestre","1º Trimestre","2º Trimestre","3º Trimestre","4º Trimestre"},0),SUM(T162:AE162),SUM(T162:Y162),SUM(Z162:AE162),SUM(T162:V162),SUM(W162:Y162),SUM(Z162:AB162),SUM(AC162:AE162)),0)</f>
        <v/>
      </c>
      <c r="AG162" t="inlineStr">
        <is>
          <t>Campanhas e Eventos</t>
        </is>
      </c>
      <c r="AH162">
        <f>IFERROR(CHOOSE(MATCH($AG$6,{"Ano Completo","1º Semestre","2º Semestre","1º Trimestre","2º Trimestre","3º Trimestre","4º Trimestre"},0),SUM(AI162:AT162),SUM(AI162:AN162),SUM(AO162:AT162),SUM(AI162:AK162),SUM(AL162:AN162),SUM(AO162:AQ162),SUM(AR162:AT162)),0)</f>
        <v/>
      </c>
      <c r="AI162" t="n">
        <v>7403</v>
      </c>
      <c r="AJ162" t="n">
        <v>7449</v>
      </c>
      <c r="AK162" t="n">
        <v>3833</v>
      </c>
      <c r="AL162" t="n">
        <v>18692</v>
      </c>
      <c r="AM162" t="n">
        <v>2785</v>
      </c>
      <c r="AN162" t="n">
        <v>16597</v>
      </c>
      <c r="AO162" t="n">
        <v>15466</v>
      </c>
      <c r="AP162" t="n">
        <v>3230</v>
      </c>
      <c r="AQ162" t="n">
        <v>4827</v>
      </c>
      <c r="AR162" t="n">
        <v>1709</v>
      </c>
      <c r="AS162" t="n">
        <v>19354</v>
      </c>
      <c r="AT162" t="n">
        <v>10288</v>
      </c>
      <c r="AW162" t="inlineStr">
        <is>
          <t>Campanhas e Eventos</t>
        </is>
      </c>
      <c r="AX162">
        <f>IFERROR(CHOOSE(MATCH($AW$6,{"Ano Completo","1º Semestre","2º Semestre","1º Trimestre","2º Trimestre","3º Trimestre","4º Trimestre"},0),SUM(AY162:BJ162),SUM(AY162:BD162),SUM(BE162:BJ162),SUM(AY162:BA162),SUM(BB162:BD162),SUM(BE162:BG162),SUM(BH162:BJ162)),0)</f>
        <v/>
      </c>
      <c r="AY162" t="n">
        <v>8628</v>
      </c>
      <c r="AZ162" t="n">
        <v>8958</v>
      </c>
      <c r="BA162" t="n">
        <v>13196</v>
      </c>
      <c r="BB162" t="n">
        <v>2257</v>
      </c>
      <c r="BC162" t="n">
        <v>6445</v>
      </c>
      <c r="BD162" t="n">
        <v>18055</v>
      </c>
      <c r="BE162" t="n">
        <v>4055</v>
      </c>
      <c r="BF162" t="n">
        <v>16820</v>
      </c>
      <c r="BG162" t="n">
        <v>16623</v>
      </c>
      <c r="BH162" t="n">
        <v>2683</v>
      </c>
      <c r="BI162" t="n">
        <v>8062</v>
      </c>
      <c r="BJ162" t="n">
        <v>9964</v>
      </c>
      <c r="BL162" t="inlineStr">
        <is>
          <t>Campanhas e Eventos</t>
        </is>
      </c>
      <c r="BM162">
        <f>IFERROR(CHOOSE(MATCH($BL$6,{"Ano Completo","1º Semestre","2º Semestre","1º Trimestre","2º Trimestre","3º Trimestre","4º Trimestre"},0),SUM(BN162:BY162),SUM(BN162:BS162),SUM(BT162:BY162),SUM(BN162:BP162),SUM(BQ162:BS162),SUM(BT162:BV162),SUM(BW162:BY162)),0)</f>
        <v/>
      </c>
      <c r="BN162" t="n">
        <v>7403</v>
      </c>
      <c r="BO162" t="n">
        <v>7449</v>
      </c>
      <c r="BP162" t="n">
        <v>3833</v>
      </c>
      <c r="BQ162" t="n">
        <v>18692</v>
      </c>
      <c r="BR162" t="n">
        <v>2785</v>
      </c>
      <c r="BS162" t="n">
        <v>16597</v>
      </c>
      <c r="BT162" t="n">
        <v>15466</v>
      </c>
      <c r="BU162" t="n">
        <v>3230</v>
      </c>
      <c r="BV162" t="n">
        <v>4827</v>
      </c>
      <c r="BW162" t="n">
        <v>1709</v>
      </c>
      <c r="BX162" t="n">
        <v>19354</v>
      </c>
      <c r="BY162" t="n">
        <v>10288</v>
      </c>
      <c r="CB162" t="inlineStr">
        <is>
          <t>Campanhas e Eventos</t>
        </is>
      </c>
      <c r="CC162">
        <f>IFERROR(CHOOSE(MATCH($CB$6,{"Ano Completo","1º Semestre","2º Semestre","1º Trimestre","2º Trimestre","3º Trimestre","4º Trimestre"},0),SUM(CD162:CO162),SUM(CD162:CI162),SUM(CJ162:CO162),SUM(CD162:CF162),SUM(CG162:CI162),SUM(CJ162:CL162),SUM(CM162:CO162)),0)</f>
        <v/>
      </c>
      <c r="CD162" t="n">
        <v>8628</v>
      </c>
      <c r="CE162" t="n">
        <v>8958</v>
      </c>
      <c r="CF162" t="n">
        <v>13196</v>
      </c>
      <c r="CG162" t="n">
        <v>2257</v>
      </c>
      <c r="CH162" t="n">
        <v>6445</v>
      </c>
      <c r="CI162" t="n">
        <v>18055</v>
      </c>
      <c r="CJ162" t="n">
        <v>4055</v>
      </c>
      <c r="CK162" t="n">
        <v>16820</v>
      </c>
      <c r="CL162" t="n">
        <v>16623</v>
      </c>
      <c r="CM162" t="n">
        <v>2683</v>
      </c>
      <c r="CN162" t="n">
        <v>8062</v>
      </c>
      <c r="CO162" t="n">
        <v>9964</v>
      </c>
      <c r="CQ162" t="inlineStr">
        <is>
          <t>Campanhas e Eventos</t>
        </is>
      </c>
      <c r="CR162">
        <f>IFERROR(CHOOSE(MATCH($CQ$6,{"Ano Completo","1º Semestre","2º Semestre","1º Trimestre","2º Trimestre","3º Trimestre","4º Trimestre"},0),SUM(CS162:DD162),SUM(CS162:CX162),SUM(CY162:DD162),SUM(CS162:CU162),SUM(CV162:CX162),SUM(CY162:DA162),SUM(DB162:DD162)),0)</f>
        <v/>
      </c>
      <c r="CS162" t="n">
        <v>7403</v>
      </c>
      <c r="CT162" t="n">
        <v>7449</v>
      </c>
      <c r="CU162" t="n">
        <v>3833</v>
      </c>
      <c r="CV162" t="n">
        <v>18692</v>
      </c>
      <c r="CW162" t="n">
        <v>2785</v>
      </c>
      <c r="CX162" t="n">
        <v>16597</v>
      </c>
      <c r="CY162" t="n">
        <v>15466</v>
      </c>
      <c r="CZ162" t="n">
        <v>3230</v>
      </c>
      <c r="DA162" t="n">
        <v>4827</v>
      </c>
      <c r="DB162" t="n">
        <v>1709</v>
      </c>
      <c r="DC162" t="n">
        <v>19354</v>
      </c>
      <c r="DD162" t="n">
        <v>10288</v>
      </c>
      <c r="DG162" t="inlineStr">
        <is>
          <t>Campanhas e Eventos</t>
        </is>
      </c>
      <c r="DH162">
        <f>IFERROR(CHOOSE(MATCH($DG$6,{"Ano Completo","1º Semestre","2º Semestre","1º Trimestre","2º Trimestre","3º Trimestre","4º Trimestre"},0),SUM(DI162:DT162),SUM(DI162:DN162),SUM(DO162:DT162),SUM(DI162:DK162),SUM(DL162:DN162),SUM(DO162:DQ162),SUM(DR162:DT162)),0)</f>
        <v/>
      </c>
      <c r="DI162" t="n">
        <v>8628</v>
      </c>
      <c r="DJ162" t="n">
        <v>8958</v>
      </c>
      <c r="DK162" t="n">
        <v>13196</v>
      </c>
      <c r="DL162" t="n">
        <v>2257</v>
      </c>
      <c r="DM162" t="n">
        <v>6445</v>
      </c>
      <c r="DN162" t="n">
        <v>18055</v>
      </c>
      <c r="DO162" t="n">
        <v>4055</v>
      </c>
      <c r="DP162" t="n">
        <v>16820</v>
      </c>
      <c r="DQ162" t="n">
        <v>16623</v>
      </c>
      <c r="DR162" t="n">
        <v>2683</v>
      </c>
      <c r="DS162" t="n">
        <v>8062</v>
      </c>
      <c r="DT162" t="n">
        <v>9964</v>
      </c>
      <c r="DV162" t="inlineStr">
        <is>
          <t>Campanhas e Eventos</t>
        </is>
      </c>
      <c r="DW162">
        <f>IFERROR(CHOOSE(MATCH($DV$6,{"Ano Completo","1º Semestre","2º Semestre","1º Trimestre","2º Trimestre","3º Trimestre","4º Trimestre"},0),SUM(DX162:EI162),SUM(DX162:EC162),SUM(ED162:EI162),SUM(DX162:DZ162),SUM(EA162:EC162),SUM(ED162:EF162),SUM(EG162:EI162)),0)</f>
        <v/>
      </c>
      <c r="DX162" t="n">
        <v>7403</v>
      </c>
      <c r="DY162" t="n">
        <v>7449</v>
      </c>
      <c r="DZ162" t="n">
        <v>3833</v>
      </c>
      <c r="EA162" t="n">
        <v>18692</v>
      </c>
      <c r="EB162" t="n">
        <v>2785</v>
      </c>
      <c r="EC162" t="n">
        <v>16597</v>
      </c>
      <c r="ED162" t="n">
        <v>15466</v>
      </c>
      <c r="EE162" t="n">
        <v>3230</v>
      </c>
      <c r="EF162" t="n">
        <v>4827</v>
      </c>
      <c r="EG162" t="n">
        <v>1709</v>
      </c>
      <c r="EH162" t="n">
        <v>19354</v>
      </c>
      <c r="EI162" t="n">
        <v>10288</v>
      </c>
      <c r="EL162" t="inlineStr">
        <is>
          <t>Campanhas e Eventos</t>
        </is>
      </c>
      <c r="EM162">
        <f>IFERROR(CHOOSE(MATCH($EL$6,{"Ano Completo","1º Semestre","2º Semestre","1º Trimestre","2º Trimestre","3º Trimestre","4º Trimestre"},0),SUM(EN162:EY162),SUM(EN162:ES162),SUM(ET162:EY162),SUM(EN162:EP162),SUM(EQ162:ES162),SUM(ET162:EV162),SUM(EW162:EY162)),0)</f>
        <v/>
      </c>
      <c r="EN162" t="n">
        <v>8628</v>
      </c>
      <c r="EO162" t="n">
        <v>8958</v>
      </c>
      <c r="EP162" t="n">
        <v>13196</v>
      </c>
      <c r="EQ162" t="n">
        <v>2257</v>
      </c>
      <c r="ER162" t="n">
        <v>6445</v>
      </c>
      <c r="ES162" t="n">
        <v>18055</v>
      </c>
      <c r="ET162" t="n">
        <v>4055</v>
      </c>
      <c r="EU162" t="n">
        <v>16820</v>
      </c>
      <c r="EV162" t="n">
        <v>16623</v>
      </c>
      <c r="EW162" t="n">
        <v>2683</v>
      </c>
      <c r="EX162" t="n">
        <v>8062</v>
      </c>
      <c r="EY162" t="n">
        <v>9964</v>
      </c>
    </row>
    <row r="163">
      <c r="B163" t="inlineStr">
        <is>
          <t>Manutenção de maquinário</t>
        </is>
      </c>
      <c r="C163">
        <f>IFERROR(CHOOSE(MATCH($B$6,{"Ano Completo","1º Semestre","2º Semestre","1º Trimestre","2º Trimestre","3º Trimestre","4º Trimestre"},0),SUM(D163:O163),SUM(D163:I163),SUM(J163:O163),SUM(D163:F163),SUM(G163:I163),SUM(J163:L163),SUM(M163:O163)),0)</f>
        <v/>
      </c>
      <c r="R163" t="inlineStr">
        <is>
          <t>Manutenção de maquinário</t>
        </is>
      </c>
      <c r="S163">
        <f>IFERROR(CHOOSE(MATCH($R$6,{"Ano Completo","1º Semestre","2º Semestre","1º Trimestre","2º Trimestre","3º Trimestre","4º Trimestre"},0),SUM(T163:AE163),SUM(T163:Y163),SUM(Z163:AE163),SUM(T163:V163),SUM(W163:Y163),SUM(Z163:AB163),SUM(AC163:AE163)),0)</f>
        <v/>
      </c>
      <c r="AG163" t="inlineStr">
        <is>
          <t>Manutenção de maquinário</t>
        </is>
      </c>
      <c r="AH163">
        <f>IFERROR(CHOOSE(MATCH($AG$6,{"Ano Completo","1º Semestre","2º Semestre","1º Trimestre","2º Trimestre","3º Trimestre","4º Trimestre"},0),SUM(AI163:AT163),SUM(AI163:AN163),SUM(AO163:AT163),SUM(AI163:AK163),SUM(AL163:AN163),SUM(AO163:AQ163),SUM(AR163:AT163)),0)</f>
        <v/>
      </c>
      <c r="AI163" t="n">
        <v>18188</v>
      </c>
      <c r="AJ163" t="n">
        <v>10709</v>
      </c>
      <c r="AK163" t="n">
        <v>9108</v>
      </c>
      <c r="AL163" t="n">
        <v>1356</v>
      </c>
      <c r="AM163" t="n">
        <v>18202</v>
      </c>
      <c r="AN163" t="n">
        <v>15177</v>
      </c>
      <c r="AO163" t="n">
        <v>10821</v>
      </c>
      <c r="AP163" t="n">
        <v>7145</v>
      </c>
      <c r="AQ163" t="n">
        <v>18244</v>
      </c>
      <c r="AR163" t="n">
        <v>1032</v>
      </c>
      <c r="AS163" t="n">
        <v>13026</v>
      </c>
      <c r="AT163" t="n">
        <v>8284</v>
      </c>
      <c r="AW163" t="inlineStr">
        <is>
          <t>Manutenção de maquinário</t>
        </is>
      </c>
      <c r="AX163">
        <f>IFERROR(CHOOSE(MATCH($AW$6,{"Ano Completo","1º Semestre","2º Semestre","1º Trimestre","2º Trimestre","3º Trimestre","4º Trimestre"},0),SUM(AY163:BJ163),SUM(AY163:BD163),SUM(BE163:BJ163),SUM(AY163:BA163),SUM(BB163:BD163),SUM(BE163:BG163),SUM(BH163:BJ163)),0)</f>
        <v/>
      </c>
      <c r="AY163" t="n">
        <v>10502</v>
      </c>
      <c r="AZ163" t="n">
        <v>4185</v>
      </c>
      <c r="BA163" t="n">
        <v>11018</v>
      </c>
      <c r="BB163" t="n">
        <v>7775</v>
      </c>
      <c r="BC163" t="n">
        <v>5095</v>
      </c>
      <c r="BD163" t="n">
        <v>19379</v>
      </c>
      <c r="BE163" t="n">
        <v>1711</v>
      </c>
      <c r="BF163" t="n">
        <v>11440</v>
      </c>
      <c r="BG163" t="n">
        <v>9542</v>
      </c>
      <c r="BH163" t="n">
        <v>9644</v>
      </c>
      <c r="BI163" t="n">
        <v>1726</v>
      </c>
      <c r="BJ163" t="n">
        <v>3939</v>
      </c>
      <c r="BL163" t="inlineStr">
        <is>
          <t>Manutenção de maquinário</t>
        </is>
      </c>
      <c r="BM163">
        <f>IFERROR(CHOOSE(MATCH($BL$6,{"Ano Completo","1º Semestre","2º Semestre","1º Trimestre","2º Trimestre","3º Trimestre","4º Trimestre"},0),SUM(BN163:BY163),SUM(BN163:BS163),SUM(BT163:BY163),SUM(BN163:BP163),SUM(BQ163:BS163),SUM(BT163:BV163),SUM(BW163:BY163)),0)</f>
        <v/>
      </c>
      <c r="BN163" t="n">
        <v>18188</v>
      </c>
      <c r="BO163" t="n">
        <v>10709</v>
      </c>
      <c r="BP163" t="n">
        <v>9108</v>
      </c>
      <c r="BQ163" t="n">
        <v>1356</v>
      </c>
      <c r="BR163" t="n">
        <v>18202</v>
      </c>
      <c r="BS163" t="n">
        <v>15177</v>
      </c>
      <c r="BT163" t="n">
        <v>10821</v>
      </c>
      <c r="BU163" t="n">
        <v>7145</v>
      </c>
      <c r="BV163" t="n">
        <v>18244</v>
      </c>
      <c r="BW163" t="n">
        <v>1032</v>
      </c>
      <c r="BX163" t="n">
        <v>13026</v>
      </c>
      <c r="BY163" t="n">
        <v>8284</v>
      </c>
      <c r="CB163" t="inlineStr">
        <is>
          <t>Manutenção de maquinário</t>
        </is>
      </c>
      <c r="CC163">
        <f>IFERROR(CHOOSE(MATCH($CB$6,{"Ano Completo","1º Semestre","2º Semestre","1º Trimestre","2º Trimestre","3º Trimestre","4º Trimestre"},0),SUM(CD163:CO163),SUM(CD163:CI163),SUM(CJ163:CO163),SUM(CD163:CF163),SUM(CG163:CI163),SUM(CJ163:CL163),SUM(CM163:CO163)),0)</f>
        <v/>
      </c>
      <c r="CD163" t="n">
        <v>10502</v>
      </c>
      <c r="CE163" t="n">
        <v>4185</v>
      </c>
      <c r="CF163" t="n">
        <v>11018</v>
      </c>
      <c r="CG163" t="n">
        <v>7775</v>
      </c>
      <c r="CH163" t="n">
        <v>5095</v>
      </c>
      <c r="CI163" t="n">
        <v>19379</v>
      </c>
      <c r="CJ163" t="n">
        <v>1711</v>
      </c>
      <c r="CK163" t="n">
        <v>11440</v>
      </c>
      <c r="CL163" t="n">
        <v>9542</v>
      </c>
      <c r="CM163" t="n">
        <v>9644</v>
      </c>
      <c r="CN163" t="n">
        <v>1726</v>
      </c>
      <c r="CO163" t="n">
        <v>3939</v>
      </c>
      <c r="CQ163" t="inlineStr">
        <is>
          <t>Manutenção de maquinário</t>
        </is>
      </c>
      <c r="CR163">
        <f>IFERROR(CHOOSE(MATCH($CQ$6,{"Ano Completo","1º Semestre","2º Semestre","1º Trimestre","2º Trimestre","3º Trimestre","4º Trimestre"},0),SUM(CS163:DD163),SUM(CS163:CX163),SUM(CY163:DD163),SUM(CS163:CU163),SUM(CV163:CX163),SUM(CY163:DA163),SUM(DB163:DD163)),0)</f>
        <v/>
      </c>
      <c r="CS163" t="n">
        <v>18188</v>
      </c>
      <c r="CT163" t="n">
        <v>10709</v>
      </c>
      <c r="CU163" t="n">
        <v>9108</v>
      </c>
      <c r="CV163" t="n">
        <v>1356</v>
      </c>
      <c r="CW163" t="n">
        <v>18202</v>
      </c>
      <c r="CX163" t="n">
        <v>15177</v>
      </c>
      <c r="CY163" t="n">
        <v>10821</v>
      </c>
      <c r="CZ163" t="n">
        <v>7145</v>
      </c>
      <c r="DA163" t="n">
        <v>18244</v>
      </c>
      <c r="DB163" t="n">
        <v>1032</v>
      </c>
      <c r="DC163" t="n">
        <v>13026</v>
      </c>
      <c r="DD163" t="n">
        <v>8284</v>
      </c>
      <c r="DG163" t="inlineStr">
        <is>
          <t>Manutenção de maquinário</t>
        </is>
      </c>
      <c r="DH163">
        <f>IFERROR(CHOOSE(MATCH($DG$6,{"Ano Completo","1º Semestre","2º Semestre","1º Trimestre","2º Trimestre","3º Trimestre","4º Trimestre"},0),SUM(DI163:DT163),SUM(DI163:DN163),SUM(DO163:DT163),SUM(DI163:DK163),SUM(DL163:DN163),SUM(DO163:DQ163),SUM(DR163:DT163)),0)</f>
        <v/>
      </c>
      <c r="DI163" t="n">
        <v>10502</v>
      </c>
      <c r="DJ163" t="n">
        <v>4185</v>
      </c>
      <c r="DK163" t="n">
        <v>11018</v>
      </c>
      <c r="DL163" t="n">
        <v>7775</v>
      </c>
      <c r="DM163" t="n">
        <v>5095</v>
      </c>
      <c r="DN163" t="n">
        <v>19379</v>
      </c>
      <c r="DO163" t="n">
        <v>1711</v>
      </c>
      <c r="DP163" t="n">
        <v>11440</v>
      </c>
      <c r="DQ163" t="n">
        <v>9542</v>
      </c>
      <c r="DR163" t="n">
        <v>9644</v>
      </c>
      <c r="DS163" t="n">
        <v>1726</v>
      </c>
      <c r="DT163" t="n">
        <v>3939</v>
      </c>
      <c r="DV163" t="inlineStr">
        <is>
          <t>Manutenção de maquinário</t>
        </is>
      </c>
      <c r="DW163">
        <f>IFERROR(CHOOSE(MATCH($DV$6,{"Ano Completo","1º Semestre","2º Semestre","1º Trimestre","2º Trimestre","3º Trimestre","4º Trimestre"},0),SUM(DX163:EI163),SUM(DX163:EC163),SUM(ED163:EI163),SUM(DX163:DZ163),SUM(EA163:EC163),SUM(ED163:EF163),SUM(EG163:EI163)),0)</f>
        <v/>
      </c>
      <c r="DX163" t="n">
        <v>18188</v>
      </c>
      <c r="DY163" t="n">
        <v>10709</v>
      </c>
      <c r="DZ163" t="n">
        <v>9108</v>
      </c>
      <c r="EA163" t="n">
        <v>1356</v>
      </c>
      <c r="EB163" t="n">
        <v>18202</v>
      </c>
      <c r="EC163" t="n">
        <v>15177</v>
      </c>
      <c r="ED163" t="n">
        <v>10821</v>
      </c>
      <c r="EE163" t="n">
        <v>7145</v>
      </c>
      <c r="EF163" t="n">
        <v>18244</v>
      </c>
      <c r="EG163" t="n">
        <v>1032</v>
      </c>
      <c r="EH163" t="n">
        <v>13026</v>
      </c>
      <c r="EI163" t="n">
        <v>8284</v>
      </c>
      <c r="EL163" t="inlineStr">
        <is>
          <t>Manutenção de maquinário</t>
        </is>
      </c>
      <c r="EM163">
        <f>IFERROR(CHOOSE(MATCH($EL$6,{"Ano Completo","1º Semestre","2º Semestre","1º Trimestre","2º Trimestre","3º Trimestre","4º Trimestre"},0),SUM(EN163:EY163),SUM(EN163:ES163),SUM(ET163:EY163),SUM(EN163:EP163),SUM(EQ163:ES163),SUM(ET163:EV163),SUM(EW163:EY163)),0)</f>
        <v/>
      </c>
      <c r="EN163" t="n">
        <v>10502</v>
      </c>
      <c r="EO163" t="n">
        <v>4185</v>
      </c>
      <c r="EP163" t="n">
        <v>11018</v>
      </c>
      <c r="EQ163" t="n">
        <v>7775</v>
      </c>
      <c r="ER163" t="n">
        <v>5095</v>
      </c>
      <c r="ES163" t="n">
        <v>19379</v>
      </c>
      <c r="ET163" t="n">
        <v>1711</v>
      </c>
      <c r="EU163" t="n">
        <v>11440</v>
      </c>
      <c r="EV163" t="n">
        <v>9542</v>
      </c>
      <c r="EW163" t="n">
        <v>9644</v>
      </c>
      <c r="EX163" t="n">
        <v>1726</v>
      </c>
      <c r="EY163" t="n">
        <v>3939</v>
      </c>
    </row>
    <row r="164">
      <c r="B164" t="inlineStr">
        <is>
          <t>Motoboy</t>
        </is>
      </c>
      <c r="C164">
        <f>IFERROR(CHOOSE(MATCH($B$6,{"Ano Completo","1º Semestre","2º Semestre","1º Trimestre","2º Trimestre","3º Trimestre","4º Trimestre"},0),SUM(D164:O164),SUM(D164:I164),SUM(J164:O164),SUM(D164:F164),SUM(G164:I164),SUM(J164:L164),SUM(M164:O164)),0)</f>
        <v/>
      </c>
      <c r="R164" t="inlineStr">
        <is>
          <t>Motoboy</t>
        </is>
      </c>
      <c r="S164">
        <f>IFERROR(CHOOSE(MATCH($R$6,{"Ano Completo","1º Semestre","2º Semestre","1º Trimestre","2º Trimestre","3º Trimestre","4º Trimestre"},0),SUM(T164:AE164),SUM(T164:Y164),SUM(Z164:AE164),SUM(T164:V164),SUM(W164:Y164),SUM(Z164:AB164),SUM(AC164:AE164)),0)</f>
        <v/>
      </c>
      <c r="AG164" t="inlineStr">
        <is>
          <t>Motoboy</t>
        </is>
      </c>
      <c r="AH164">
        <f>IFERROR(CHOOSE(MATCH($AG$6,{"Ano Completo","1º Semestre","2º Semestre","1º Trimestre","2º Trimestre","3º Trimestre","4º Trimestre"},0),SUM(AI164:AT164),SUM(AI164:AN164),SUM(AO164:AT164),SUM(AI164:AK164),SUM(AL164:AN164),SUM(AO164:AQ164),SUM(AR164:AT164)),0)</f>
        <v/>
      </c>
      <c r="AI164" t="n">
        <v>8969</v>
      </c>
      <c r="AJ164" t="n">
        <v>5542</v>
      </c>
      <c r="AK164" t="n">
        <v>12063</v>
      </c>
      <c r="AL164" t="n">
        <v>13390</v>
      </c>
      <c r="AM164" t="n">
        <v>14421</v>
      </c>
      <c r="AN164" t="n">
        <v>18308</v>
      </c>
      <c r="AO164" t="n">
        <v>17391</v>
      </c>
      <c r="AP164" t="n">
        <v>15986</v>
      </c>
      <c r="AQ164" t="n">
        <v>9773</v>
      </c>
      <c r="AR164" t="n">
        <v>14961</v>
      </c>
      <c r="AS164" t="n">
        <v>4483</v>
      </c>
      <c r="AT164" t="n">
        <v>13782</v>
      </c>
      <c r="AW164" t="inlineStr">
        <is>
          <t>Motoboy</t>
        </is>
      </c>
      <c r="AX164">
        <f>IFERROR(CHOOSE(MATCH($AW$6,{"Ano Completo","1º Semestre","2º Semestre","1º Trimestre","2º Trimestre","3º Trimestre","4º Trimestre"},0),SUM(AY164:BJ164),SUM(AY164:BD164),SUM(BE164:BJ164),SUM(AY164:BA164),SUM(BB164:BD164),SUM(BE164:BG164),SUM(BH164:BJ164)),0)</f>
        <v/>
      </c>
      <c r="AY164" t="n">
        <v>13485</v>
      </c>
      <c r="AZ164" t="n">
        <v>9289</v>
      </c>
      <c r="BA164" t="n">
        <v>2311</v>
      </c>
      <c r="BB164" t="n">
        <v>14206</v>
      </c>
      <c r="BC164" t="n">
        <v>10044</v>
      </c>
      <c r="BD164" t="n">
        <v>2010</v>
      </c>
      <c r="BE164" t="n">
        <v>7032</v>
      </c>
      <c r="BF164" t="n">
        <v>16788</v>
      </c>
      <c r="BG164" t="n">
        <v>17199</v>
      </c>
      <c r="BH164" t="n">
        <v>9332</v>
      </c>
      <c r="BI164" t="n">
        <v>1652</v>
      </c>
      <c r="BJ164" t="n">
        <v>2813</v>
      </c>
      <c r="BL164" t="inlineStr">
        <is>
          <t>Motoboy</t>
        </is>
      </c>
      <c r="BM164">
        <f>IFERROR(CHOOSE(MATCH($BL$6,{"Ano Completo","1º Semestre","2º Semestre","1º Trimestre","2º Trimestre","3º Trimestre","4º Trimestre"},0),SUM(BN164:BY164),SUM(BN164:BS164),SUM(BT164:BY164),SUM(BN164:BP164),SUM(BQ164:BS164),SUM(BT164:BV164),SUM(BW164:BY164)),0)</f>
        <v/>
      </c>
      <c r="BN164" t="n">
        <v>8969</v>
      </c>
      <c r="BO164" t="n">
        <v>5542</v>
      </c>
      <c r="BP164" t="n">
        <v>12063</v>
      </c>
      <c r="BQ164" t="n">
        <v>13390</v>
      </c>
      <c r="BR164" t="n">
        <v>14421</v>
      </c>
      <c r="BS164" t="n">
        <v>18308</v>
      </c>
      <c r="BT164" t="n">
        <v>17391</v>
      </c>
      <c r="BU164" t="n">
        <v>15986</v>
      </c>
      <c r="BV164" t="n">
        <v>9773</v>
      </c>
      <c r="BW164" t="n">
        <v>14961</v>
      </c>
      <c r="BX164" t="n">
        <v>4483</v>
      </c>
      <c r="BY164" t="n">
        <v>13782</v>
      </c>
      <c r="CB164" t="inlineStr">
        <is>
          <t>Motoboy</t>
        </is>
      </c>
      <c r="CC164">
        <f>IFERROR(CHOOSE(MATCH($CB$6,{"Ano Completo","1º Semestre","2º Semestre","1º Trimestre","2º Trimestre","3º Trimestre","4º Trimestre"},0),SUM(CD164:CO164),SUM(CD164:CI164),SUM(CJ164:CO164),SUM(CD164:CF164),SUM(CG164:CI164),SUM(CJ164:CL164),SUM(CM164:CO164)),0)</f>
        <v/>
      </c>
      <c r="CD164" t="n">
        <v>13485</v>
      </c>
      <c r="CE164" t="n">
        <v>9289</v>
      </c>
      <c r="CF164" t="n">
        <v>2311</v>
      </c>
      <c r="CG164" t="n">
        <v>14206</v>
      </c>
      <c r="CH164" t="n">
        <v>10044</v>
      </c>
      <c r="CI164" t="n">
        <v>2010</v>
      </c>
      <c r="CJ164" t="n">
        <v>7032</v>
      </c>
      <c r="CK164" t="n">
        <v>16788</v>
      </c>
      <c r="CL164" t="n">
        <v>17199</v>
      </c>
      <c r="CM164" t="n">
        <v>9332</v>
      </c>
      <c r="CN164" t="n">
        <v>1652</v>
      </c>
      <c r="CO164" t="n">
        <v>2813</v>
      </c>
      <c r="CQ164" t="inlineStr">
        <is>
          <t>Motoboy</t>
        </is>
      </c>
      <c r="CR164">
        <f>IFERROR(CHOOSE(MATCH($CQ$6,{"Ano Completo","1º Semestre","2º Semestre","1º Trimestre","2º Trimestre","3º Trimestre","4º Trimestre"},0),SUM(CS164:DD164),SUM(CS164:CX164),SUM(CY164:DD164),SUM(CS164:CU164),SUM(CV164:CX164),SUM(CY164:DA164),SUM(DB164:DD164)),0)</f>
        <v/>
      </c>
      <c r="CS164" t="n">
        <v>8969</v>
      </c>
      <c r="CT164" t="n">
        <v>5542</v>
      </c>
      <c r="CU164" t="n">
        <v>12063</v>
      </c>
      <c r="CV164" t="n">
        <v>13390</v>
      </c>
      <c r="CW164" t="n">
        <v>14421</v>
      </c>
      <c r="CX164" t="n">
        <v>18308</v>
      </c>
      <c r="CY164" t="n">
        <v>17391</v>
      </c>
      <c r="CZ164" t="n">
        <v>15986</v>
      </c>
      <c r="DA164" t="n">
        <v>9773</v>
      </c>
      <c r="DB164" t="n">
        <v>14961</v>
      </c>
      <c r="DC164" t="n">
        <v>4483</v>
      </c>
      <c r="DD164" t="n">
        <v>13782</v>
      </c>
      <c r="DG164" t="inlineStr">
        <is>
          <t>Motoboy</t>
        </is>
      </c>
      <c r="DH164">
        <f>IFERROR(CHOOSE(MATCH($DG$6,{"Ano Completo","1º Semestre","2º Semestre","1º Trimestre","2º Trimestre","3º Trimestre","4º Trimestre"},0),SUM(DI164:DT164),SUM(DI164:DN164),SUM(DO164:DT164),SUM(DI164:DK164),SUM(DL164:DN164),SUM(DO164:DQ164),SUM(DR164:DT164)),0)</f>
        <v/>
      </c>
      <c r="DI164" t="n">
        <v>13485</v>
      </c>
      <c r="DJ164" t="n">
        <v>9289</v>
      </c>
      <c r="DK164" t="n">
        <v>2311</v>
      </c>
      <c r="DL164" t="n">
        <v>14206</v>
      </c>
      <c r="DM164" t="n">
        <v>10044</v>
      </c>
      <c r="DN164" t="n">
        <v>2010</v>
      </c>
      <c r="DO164" t="n">
        <v>7032</v>
      </c>
      <c r="DP164" t="n">
        <v>16788</v>
      </c>
      <c r="DQ164" t="n">
        <v>17199</v>
      </c>
      <c r="DR164" t="n">
        <v>9332</v>
      </c>
      <c r="DS164" t="n">
        <v>1652</v>
      </c>
      <c r="DT164" t="n">
        <v>2813</v>
      </c>
      <c r="DV164" t="inlineStr">
        <is>
          <t>Motoboy</t>
        </is>
      </c>
      <c r="DW164">
        <f>IFERROR(CHOOSE(MATCH($DV$6,{"Ano Completo","1º Semestre","2º Semestre","1º Trimestre","2º Trimestre","3º Trimestre","4º Trimestre"},0),SUM(DX164:EI164),SUM(DX164:EC164),SUM(ED164:EI164),SUM(DX164:DZ164),SUM(EA164:EC164),SUM(ED164:EF164),SUM(EG164:EI164)),0)</f>
        <v/>
      </c>
      <c r="DX164" t="n">
        <v>8969</v>
      </c>
      <c r="DY164" t="n">
        <v>5542</v>
      </c>
      <c r="DZ164" t="n">
        <v>12063</v>
      </c>
      <c r="EA164" t="n">
        <v>13390</v>
      </c>
      <c r="EB164" t="n">
        <v>14421</v>
      </c>
      <c r="EC164" t="n">
        <v>18308</v>
      </c>
      <c r="ED164" t="n">
        <v>17391</v>
      </c>
      <c r="EE164" t="n">
        <v>15986</v>
      </c>
      <c r="EF164" t="n">
        <v>9773</v>
      </c>
      <c r="EG164" t="n">
        <v>14961</v>
      </c>
      <c r="EH164" t="n">
        <v>4483</v>
      </c>
      <c r="EI164" t="n">
        <v>13782</v>
      </c>
      <c r="EL164" t="inlineStr">
        <is>
          <t>Motoboy</t>
        </is>
      </c>
      <c r="EM164">
        <f>IFERROR(CHOOSE(MATCH($EL$6,{"Ano Completo","1º Semestre","2º Semestre","1º Trimestre","2º Trimestre","3º Trimestre","4º Trimestre"},0),SUM(EN164:EY164),SUM(EN164:ES164),SUM(ET164:EY164),SUM(EN164:EP164),SUM(EQ164:ES164),SUM(ET164:EV164),SUM(EW164:EY164)),0)</f>
        <v/>
      </c>
      <c r="EN164" t="n">
        <v>13485</v>
      </c>
      <c r="EO164" t="n">
        <v>9289</v>
      </c>
      <c r="EP164" t="n">
        <v>2311</v>
      </c>
      <c r="EQ164" t="n">
        <v>14206</v>
      </c>
      <c r="ER164" t="n">
        <v>10044</v>
      </c>
      <c r="ES164" t="n">
        <v>2010</v>
      </c>
      <c r="ET164" t="n">
        <v>7032</v>
      </c>
      <c r="EU164" t="n">
        <v>16788</v>
      </c>
      <c r="EV164" t="n">
        <v>17199</v>
      </c>
      <c r="EW164" t="n">
        <v>9332</v>
      </c>
      <c r="EX164" t="n">
        <v>1652</v>
      </c>
      <c r="EY164" t="n">
        <v>2813</v>
      </c>
    </row>
    <row r="165">
      <c r="B165" t="inlineStr">
        <is>
          <t>Cartório</t>
        </is>
      </c>
      <c r="C165">
        <f>IFERROR(CHOOSE(MATCH($B$6,{"Ano Completo","1º Semestre","2º Semestre","1º Trimestre","2º Trimestre","3º Trimestre","4º Trimestre"},0),SUM(D165:O165),SUM(D165:I165),SUM(J165:O165),SUM(D165:F165),SUM(G165:I165),SUM(J165:L165),SUM(M165:O165)),0)</f>
        <v/>
      </c>
      <c r="R165" t="inlineStr">
        <is>
          <t>Cartório</t>
        </is>
      </c>
      <c r="S165">
        <f>IFERROR(CHOOSE(MATCH($R$6,{"Ano Completo","1º Semestre","2º Semestre","1º Trimestre","2º Trimestre","3º Trimestre","4º Trimestre"},0),SUM(T165:AE165),SUM(T165:Y165),SUM(Z165:AE165),SUM(T165:V165),SUM(W165:Y165),SUM(Z165:AB165),SUM(AC165:AE165)),0)</f>
        <v/>
      </c>
      <c r="AG165" t="inlineStr">
        <is>
          <t>Cartório</t>
        </is>
      </c>
      <c r="AH165">
        <f>IFERROR(CHOOSE(MATCH($AG$6,{"Ano Completo","1º Semestre","2º Semestre","1º Trimestre","2º Trimestre","3º Trimestre","4º Trimestre"},0),SUM(AI165:AT165),SUM(AI165:AN165),SUM(AO165:AT165),SUM(AI165:AK165),SUM(AL165:AN165),SUM(AO165:AQ165),SUM(AR165:AT165)),0)</f>
        <v/>
      </c>
      <c r="AI165" t="n">
        <v>15351</v>
      </c>
      <c r="AJ165" t="n">
        <v>14212</v>
      </c>
      <c r="AK165" t="n">
        <v>14031</v>
      </c>
      <c r="AL165" t="n">
        <v>9615</v>
      </c>
      <c r="AM165" t="n">
        <v>15796</v>
      </c>
      <c r="AN165" t="n">
        <v>13729</v>
      </c>
      <c r="AO165" t="n">
        <v>4691</v>
      </c>
      <c r="AP165" t="n">
        <v>14359</v>
      </c>
      <c r="AQ165" t="n">
        <v>11681</v>
      </c>
      <c r="AR165" t="n">
        <v>9005</v>
      </c>
      <c r="AS165" t="n">
        <v>16866</v>
      </c>
      <c r="AT165" t="n">
        <v>10467</v>
      </c>
      <c r="AW165" t="inlineStr">
        <is>
          <t>Cartório</t>
        </is>
      </c>
      <c r="AX165">
        <f>IFERROR(CHOOSE(MATCH($AW$6,{"Ano Completo","1º Semestre","2º Semestre","1º Trimestre","2º Trimestre","3º Trimestre","4º Trimestre"},0),SUM(AY165:BJ165),SUM(AY165:BD165),SUM(BE165:BJ165),SUM(AY165:BA165),SUM(BB165:BD165),SUM(BE165:BG165),SUM(BH165:BJ165)),0)</f>
        <v/>
      </c>
      <c r="AY165" t="n">
        <v>15051</v>
      </c>
      <c r="AZ165" t="n">
        <v>1486</v>
      </c>
      <c r="BA165" t="n">
        <v>5992</v>
      </c>
      <c r="BB165" t="n">
        <v>10434</v>
      </c>
      <c r="BC165" t="n">
        <v>7416</v>
      </c>
      <c r="BD165" t="n">
        <v>3607</v>
      </c>
      <c r="BE165" t="n">
        <v>7454</v>
      </c>
      <c r="BF165" t="n">
        <v>16717</v>
      </c>
      <c r="BG165" t="n">
        <v>10131</v>
      </c>
      <c r="BH165" t="n">
        <v>4119</v>
      </c>
      <c r="BI165" t="n">
        <v>1492</v>
      </c>
      <c r="BJ165" t="n">
        <v>11064</v>
      </c>
      <c r="BL165" t="inlineStr">
        <is>
          <t>Cartório</t>
        </is>
      </c>
      <c r="BM165">
        <f>IFERROR(CHOOSE(MATCH($BL$6,{"Ano Completo","1º Semestre","2º Semestre","1º Trimestre","2º Trimestre","3º Trimestre","4º Trimestre"},0),SUM(BN165:BY165),SUM(BN165:BS165),SUM(BT165:BY165),SUM(BN165:BP165),SUM(BQ165:BS165),SUM(BT165:BV165),SUM(BW165:BY165)),0)</f>
        <v/>
      </c>
      <c r="BN165" t="n">
        <v>15351</v>
      </c>
      <c r="BO165" t="n">
        <v>14212</v>
      </c>
      <c r="BP165" t="n">
        <v>14031</v>
      </c>
      <c r="BQ165" t="n">
        <v>9615</v>
      </c>
      <c r="BR165" t="n">
        <v>15796</v>
      </c>
      <c r="BS165" t="n">
        <v>13729</v>
      </c>
      <c r="BT165" t="n">
        <v>4691</v>
      </c>
      <c r="BU165" t="n">
        <v>14359</v>
      </c>
      <c r="BV165" t="n">
        <v>11681</v>
      </c>
      <c r="BW165" t="n">
        <v>9005</v>
      </c>
      <c r="BX165" t="n">
        <v>16866</v>
      </c>
      <c r="BY165" t="n">
        <v>10467</v>
      </c>
      <c r="CB165" t="inlineStr">
        <is>
          <t>Cartório</t>
        </is>
      </c>
      <c r="CC165">
        <f>IFERROR(CHOOSE(MATCH($CB$6,{"Ano Completo","1º Semestre","2º Semestre","1º Trimestre","2º Trimestre","3º Trimestre","4º Trimestre"},0),SUM(CD165:CO165),SUM(CD165:CI165),SUM(CJ165:CO165),SUM(CD165:CF165),SUM(CG165:CI165),SUM(CJ165:CL165),SUM(CM165:CO165)),0)</f>
        <v/>
      </c>
      <c r="CD165" t="n">
        <v>15051</v>
      </c>
      <c r="CE165" t="n">
        <v>1486</v>
      </c>
      <c r="CF165" t="n">
        <v>5992</v>
      </c>
      <c r="CG165" t="n">
        <v>10434</v>
      </c>
      <c r="CH165" t="n">
        <v>7416</v>
      </c>
      <c r="CI165" t="n">
        <v>3607</v>
      </c>
      <c r="CJ165" t="n">
        <v>7454</v>
      </c>
      <c r="CK165" t="n">
        <v>16717</v>
      </c>
      <c r="CL165" t="n">
        <v>10131</v>
      </c>
      <c r="CM165" t="n">
        <v>4119</v>
      </c>
      <c r="CN165" t="n">
        <v>1492</v>
      </c>
      <c r="CO165" t="n">
        <v>11064</v>
      </c>
      <c r="CQ165" t="inlineStr">
        <is>
          <t>Cartório</t>
        </is>
      </c>
      <c r="CR165">
        <f>IFERROR(CHOOSE(MATCH($CQ$6,{"Ano Completo","1º Semestre","2º Semestre","1º Trimestre","2º Trimestre","3º Trimestre","4º Trimestre"},0),SUM(CS165:DD165),SUM(CS165:CX165),SUM(CY165:DD165),SUM(CS165:CU165),SUM(CV165:CX165),SUM(CY165:DA165),SUM(DB165:DD165)),0)</f>
        <v/>
      </c>
      <c r="CS165" t="n">
        <v>15351</v>
      </c>
      <c r="CT165" t="n">
        <v>14212</v>
      </c>
      <c r="CU165" t="n">
        <v>14031</v>
      </c>
      <c r="CV165" t="n">
        <v>9615</v>
      </c>
      <c r="CW165" t="n">
        <v>15796</v>
      </c>
      <c r="CX165" t="n">
        <v>13729</v>
      </c>
      <c r="CY165" t="n">
        <v>4691</v>
      </c>
      <c r="CZ165" t="n">
        <v>14359</v>
      </c>
      <c r="DA165" t="n">
        <v>11681</v>
      </c>
      <c r="DB165" t="n">
        <v>9005</v>
      </c>
      <c r="DC165" t="n">
        <v>16866</v>
      </c>
      <c r="DD165" t="n">
        <v>10467</v>
      </c>
      <c r="DG165" t="inlineStr">
        <is>
          <t>Cartório</t>
        </is>
      </c>
      <c r="DH165">
        <f>IFERROR(CHOOSE(MATCH($DG$6,{"Ano Completo","1º Semestre","2º Semestre","1º Trimestre","2º Trimestre","3º Trimestre","4º Trimestre"},0),SUM(DI165:DT165),SUM(DI165:DN165),SUM(DO165:DT165),SUM(DI165:DK165),SUM(DL165:DN165),SUM(DO165:DQ165),SUM(DR165:DT165)),0)</f>
        <v/>
      </c>
      <c r="DI165" t="n">
        <v>15051</v>
      </c>
      <c r="DJ165" t="n">
        <v>1486</v>
      </c>
      <c r="DK165" t="n">
        <v>5992</v>
      </c>
      <c r="DL165" t="n">
        <v>10434</v>
      </c>
      <c r="DM165" t="n">
        <v>7416</v>
      </c>
      <c r="DN165" t="n">
        <v>3607</v>
      </c>
      <c r="DO165" t="n">
        <v>7454</v>
      </c>
      <c r="DP165" t="n">
        <v>16717</v>
      </c>
      <c r="DQ165" t="n">
        <v>10131</v>
      </c>
      <c r="DR165" t="n">
        <v>4119</v>
      </c>
      <c r="DS165" t="n">
        <v>1492</v>
      </c>
      <c r="DT165" t="n">
        <v>11064</v>
      </c>
      <c r="DV165" t="inlineStr">
        <is>
          <t>Cartório</t>
        </is>
      </c>
      <c r="DW165">
        <f>IFERROR(CHOOSE(MATCH($DV$6,{"Ano Completo","1º Semestre","2º Semestre","1º Trimestre","2º Trimestre","3º Trimestre","4º Trimestre"},0),SUM(DX165:EI165),SUM(DX165:EC165),SUM(ED165:EI165),SUM(DX165:DZ165),SUM(EA165:EC165),SUM(ED165:EF165),SUM(EG165:EI165)),0)</f>
        <v/>
      </c>
      <c r="DX165" t="n">
        <v>15351</v>
      </c>
      <c r="DY165" t="n">
        <v>14212</v>
      </c>
      <c r="DZ165" t="n">
        <v>14031</v>
      </c>
      <c r="EA165" t="n">
        <v>9615</v>
      </c>
      <c r="EB165" t="n">
        <v>15796</v>
      </c>
      <c r="EC165" t="n">
        <v>13729</v>
      </c>
      <c r="ED165" t="n">
        <v>4691</v>
      </c>
      <c r="EE165" t="n">
        <v>14359</v>
      </c>
      <c r="EF165" t="n">
        <v>11681</v>
      </c>
      <c r="EG165" t="n">
        <v>9005</v>
      </c>
      <c r="EH165" t="n">
        <v>16866</v>
      </c>
      <c r="EI165" t="n">
        <v>10467</v>
      </c>
      <c r="EL165" t="inlineStr">
        <is>
          <t>Cartório</t>
        </is>
      </c>
      <c r="EM165">
        <f>IFERROR(CHOOSE(MATCH($EL$6,{"Ano Completo","1º Semestre","2º Semestre","1º Trimestre","2º Trimestre","3º Trimestre","4º Trimestre"},0),SUM(EN165:EY165),SUM(EN165:ES165),SUM(ET165:EY165),SUM(EN165:EP165),SUM(EQ165:ES165),SUM(ET165:EV165),SUM(EW165:EY165)),0)</f>
        <v/>
      </c>
      <c r="EN165" t="n">
        <v>15051</v>
      </c>
      <c r="EO165" t="n">
        <v>1486</v>
      </c>
      <c r="EP165" t="n">
        <v>5992</v>
      </c>
      <c r="EQ165" t="n">
        <v>10434</v>
      </c>
      <c r="ER165" t="n">
        <v>7416</v>
      </c>
      <c r="ES165" t="n">
        <v>3607</v>
      </c>
      <c r="ET165" t="n">
        <v>7454</v>
      </c>
      <c r="EU165" t="n">
        <v>16717</v>
      </c>
      <c r="EV165" t="n">
        <v>10131</v>
      </c>
      <c r="EW165" t="n">
        <v>4119</v>
      </c>
      <c r="EX165" t="n">
        <v>1492</v>
      </c>
      <c r="EY165" t="n">
        <v>11064</v>
      </c>
    </row>
    <row r="166">
      <c r="B166" t="inlineStr">
        <is>
          <t>Erros Operacionais</t>
        </is>
      </c>
      <c r="C166">
        <f>IFERROR(CHOOSE(MATCH($B$6,{"Ano Completo","1º Semestre","2º Semestre","1º Trimestre","2º Trimestre","3º Trimestre","4º Trimestre"},0),SUM(D166:O166),SUM(D166:I166),SUM(J166:O166),SUM(D166:F166),SUM(G166:I166),SUM(J166:L166),SUM(M166:O166)),0)</f>
        <v/>
      </c>
      <c r="R166" t="inlineStr">
        <is>
          <t>Erros Operacionais</t>
        </is>
      </c>
      <c r="S166">
        <f>IFERROR(CHOOSE(MATCH($R$6,{"Ano Completo","1º Semestre","2º Semestre","1º Trimestre","2º Trimestre","3º Trimestre","4º Trimestre"},0),SUM(T166:AE166),SUM(T166:Y166),SUM(Z166:AE166),SUM(T166:V166),SUM(W166:Y166),SUM(Z166:AB166),SUM(AC166:AE166)),0)</f>
        <v/>
      </c>
      <c r="AG166" t="inlineStr">
        <is>
          <t>Erros Operacionais</t>
        </is>
      </c>
      <c r="AH166">
        <f>IFERROR(CHOOSE(MATCH($AG$6,{"Ano Completo","1º Semestre","2º Semestre","1º Trimestre","2º Trimestre","3º Trimestre","4º Trimestre"},0),SUM(AI166:AT166),SUM(AI166:AN166),SUM(AO166:AT166),SUM(AI166:AK166),SUM(AL166:AN166),SUM(AO166:AQ166),SUM(AR166:AT166)),0)</f>
        <v/>
      </c>
      <c r="AI166" t="n">
        <v>6241</v>
      </c>
      <c r="AJ166" t="n">
        <v>17839</v>
      </c>
      <c r="AK166" t="n">
        <v>9108</v>
      </c>
      <c r="AL166" t="n">
        <v>4189</v>
      </c>
      <c r="AM166" t="n">
        <v>2310</v>
      </c>
      <c r="AN166" t="n">
        <v>12850</v>
      </c>
      <c r="AO166" t="n">
        <v>7832</v>
      </c>
      <c r="AP166" t="n">
        <v>19091</v>
      </c>
      <c r="AQ166" t="n">
        <v>7578</v>
      </c>
      <c r="AR166" t="n">
        <v>8145</v>
      </c>
      <c r="AS166" t="n">
        <v>17134</v>
      </c>
      <c r="AT166" t="n">
        <v>4297</v>
      </c>
      <c r="AW166" t="inlineStr">
        <is>
          <t>Erros Operacionais</t>
        </is>
      </c>
      <c r="AX166">
        <f>IFERROR(CHOOSE(MATCH($AW$6,{"Ano Completo","1º Semestre","2º Semestre","1º Trimestre","2º Trimestre","3º Trimestre","4º Trimestre"},0),SUM(AY166:BJ166),SUM(AY166:BD166),SUM(BE166:BJ166),SUM(AY166:BA166),SUM(BB166:BD166),SUM(BE166:BG166),SUM(BH166:BJ166)),0)</f>
        <v/>
      </c>
      <c r="AY166" t="n">
        <v>10773</v>
      </c>
      <c r="AZ166" t="n">
        <v>2324</v>
      </c>
      <c r="BA166" t="n">
        <v>4961</v>
      </c>
      <c r="BB166" t="n">
        <v>1969</v>
      </c>
      <c r="BC166" t="n">
        <v>7902</v>
      </c>
      <c r="BD166" t="n">
        <v>8316</v>
      </c>
      <c r="BE166" t="n">
        <v>14915</v>
      </c>
      <c r="BF166" t="n">
        <v>6061</v>
      </c>
      <c r="BG166" t="n">
        <v>15355</v>
      </c>
      <c r="BH166" t="n">
        <v>12710</v>
      </c>
      <c r="BI166" t="n">
        <v>10614</v>
      </c>
      <c r="BJ166" t="n">
        <v>16581</v>
      </c>
      <c r="BL166" t="inlineStr">
        <is>
          <t>Erros Operacionais</t>
        </is>
      </c>
      <c r="BM166">
        <f>IFERROR(CHOOSE(MATCH($BL$6,{"Ano Completo","1º Semestre","2º Semestre","1º Trimestre","2º Trimestre","3º Trimestre","4º Trimestre"},0),SUM(BN166:BY166),SUM(BN166:BS166),SUM(BT166:BY166),SUM(BN166:BP166),SUM(BQ166:BS166),SUM(BT166:BV166),SUM(BW166:BY166)),0)</f>
        <v/>
      </c>
      <c r="BN166" t="n">
        <v>6241</v>
      </c>
      <c r="BO166" t="n">
        <v>17839</v>
      </c>
      <c r="BP166" t="n">
        <v>9108</v>
      </c>
      <c r="BQ166" t="n">
        <v>4189</v>
      </c>
      <c r="BR166" t="n">
        <v>2310</v>
      </c>
      <c r="BS166" t="n">
        <v>12850</v>
      </c>
      <c r="BT166" t="n">
        <v>7832</v>
      </c>
      <c r="BU166" t="n">
        <v>19091</v>
      </c>
      <c r="BV166" t="n">
        <v>7578</v>
      </c>
      <c r="BW166" t="n">
        <v>8145</v>
      </c>
      <c r="BX166" t="n">
        <v>17134</v>
      </c>
      <c r="BY166" t="n">
        <v>4297</v>
      </c>
      <c r="CB166" t="inlineStr">
        <is>
          <t>Erros Operacionais</t>
        </is>
      </c>
      <c r="CC166">
        <f>IFERROR(CHOOSE(MATCH($CB$6,{"Ano Completo","1º Semestre","2º Semestre","1º Trimestre","2º Trimestre","3º Trimestre","4º Trimestre"},0),SUM(CD166:CO166),SUM(CD166:CI166),SUM(CJ166:CO166),SUM(CD166:CF166),SUM(CG166:CI166),SUM(CJ166:CL166),SUM(CM166:CO166)),0)</f>
        <v/>
      </c>
      <c r="CD166" t="n">
        <v>10773</v>
      </c>
      <c r="CE166" t="n">
        <v>2324</v>
      </c>
      <c r="CF166" t="n">
        <v>4961</v>
      </c>
      <c r="CG166" t="n">
        <v>1969</v>
      </c>
      <c r="CH166" t="n">
        <v>7902</v>
      </c>
      <c r="CI166" t="n">
        <v>8316</v>
      </c>
      <c r="CJ166" t="n">
        <v>14915</v>
      </c>
      <c r="CK166" t="n">
        <v>6061</v>
      </c>
      <c r="CL166" t="n">
        <v>15355</v>
      </c>
      <c r="CM166" t="n">
        <v>12710</v>
      </c>
      <c r="CN166" t="n">
        <v>10614</v>
      </c>
      <c r="CO166" t="n">
        <v>16581</v>
      </c>
      <c r="CQ166" t="inlineStr">
        <is>
          <t>Erros Operacionais</t>
        </is>
      </c>
      <c r="CR166">
        <f>IFERROR(CHOOSE(MATCH($CQ$6,{"Ano Completo","1º Semestre","2º Semestre","1º Trimestre","2º Trimestre","3º Trimestre","4º Trimestre"},0),SUM(CS166:DD166),SUM(CS166:CX166),SUM(CY166:DD166),SUM(CS166:CU166),SUM(CV166:CX166),SUM(CY166:DA166),SUM(DB166:DD166)),0)</f>
        <v/>
      </c>
      <c r="CS166" t="n">
        <v>6241</v>
      </c>
      <c r="CT166" t="n">
        <v>17839</v>
      </c>
      <c r="CU166" t="n">
        <v>9108</v>
      </c>
      <c r="CV166" t="n">
        <v>4189</v>
      </c>
      <c r="CW166" t="n">
        <v>2310</v>
      </c>
      <c r="CX166" t="n">
        <v>12850</v>
      </c>
      <c r="CY166" t="n">
        <v>7832</v>
      </c>
      <c r="CZ166" t="n">
        <v>19091</v>
      </c>
      <c r="DA166" t="n">
        <v>7578</v>
      </c>
      <c r="DB166" t="n">
        <v>8145</v>
      </c>
      <c r="DC166" t="n">
        <v>17134</v>
      </c>
      <c r="DD166" t="n">
        <v>4297</v>
      </c>
      <c r="DG166" t="inlineStr">
        <is>
          <t>Erros Operacionais</t>
        </is>
      </c>
      <c r="DH166">
        <f>IFERROR(CHOOSE(MATCH($DG$6,{"Ano Completo","1º Semestre","2º Semestre","1º Trimestre","2º Trimestre","3º Trimestre","4º Trimestre"},0),SUM(DI166:DT166),SUM(DI166:DN166),SUM(DO166:DT166),SUM(DI166:DK166),SUM(DL166:DN166),SUM(DO166:DQ166),SUM(DR166:DT166)),0)</f>
        <v/>
      </c>
      <c r="DI166" t="n">
        <v>10773</v>
      </c>
      <c r="DJ166" t="n">
        <v>2324</v>
      </c>
      <c r="DK166" t="n">
        <v>4961</v>
      </c>
      <c r="DL166" t="n">
        <v>1969</v>
      </c>
      <c r="DM166" t="n">
        <v>7902</v>
      </c>
      <c r="DN166" t="n">
        <v>8316</v>
      </c>
      <c r="DO166" t="n">
        <v>14915</v>
      </c>
      <c r="DP166" t="n">
        <v>6061</v>
      </c>
      <c r="DQ166" t="n">
        <v>15355</v>
      </c>
      <c r="DR166" t="n">
        <v>12710</v>
      </c>
      <c r="DS166" t="n">
        <v>10614</v>
      </c>
      <c r="DT166" t="n">
        <v>16581</v>
      </c>
      <c r="DV166" t="inlineStr">
        <is>
          <t>Erros Operacionais</t>
        </is>
      </c>
      <c r="DW166">
        <f>IFERROR(CHOOSE(MATCH($DV$6,{"Ano Completo","1º Semestre","2º Semestre","1º Trimestre","2º Trimestre","3º Trimestre","4º Trimestre"},0),SUM(DX166:EI166),SUM(DX166:EC166),SUM(ED166:EI166),SUM(DX166:DZ166),SUM(EA166:EC166),SUM(ED166:EF166),SUM(EG166:EI166)),0)</f>
        <v/>
      </c>
      <c r="DX166" t="n">
        <v>6241</v>
      </c>
      <c r="DY166" t="n">
        <v>17839</v>
      </c>
      <c r="DZ166" t="n">
        <v>9108</v>
      </c>
      <c r="EA166" t="n">
        <v>4189</v>
      </c>
      <c r="EB166" t="n">
        <v>2310</v>
      </c>
      <c r="EC166" t="n">
        <v>12850</v>
      </c>
      <c r="ED166" t="n">
        <v>7832</v>
      </c>
      <c r="EE166" t="n">
        <v>19091</v>
      </c>
      <c r="EF166" t="n">
        <v>7578</v>
      </c>
      <c r="EG166" t="n">
        <v>8145</v>
      </c>
      <c r="EH166" t="n">
        <v>17134</v>
      </c>
      <c r="EI166" t="n">
        <v>4297</v>
      </c>
      <c r="EL166" t="inlineStr">
        <is>
          <t>Erros Operacionais</t>
        </is>
      </c>
      <c r="EM166">
        <f>IFERROR(CHOOSE(MATCH($EL$6,{"Ano Completo","1º Semestre","2º Semestre","1º Trimestre","2º Trimestre","3º Trimestre","4º Trimestre"},0),SUM(EN166:EY166),SUM(EN166:ES166),SUM(ET166:EY166),SUM(EN166:EP166),SUM(EQ166:ES166),SUM(ET166:EV166),SUM(EW166:EY166)),0)</f>
        <v/>
      </c>
      <c r="EN166" t="n">
        <v>10773</v>
      </c>
      <c r="EO166" t="n">
        <v>2324</v>
      </c>
      <c r="EP166" t="n">
        <v>4961</v>
      </c>
      <c r="EQ166" t="n">
        <v>1969</v>
      </c>
      <c r="ER166" t="n">
        <v>7902</v>
      </c>
      <c r="ES166" t="n">
        <v>8316</v>
      </c>
      <c r="ET166" t="n">
        <v>14915</v>
      </c>
      <c r="EU166" t="n">
        <v>6061</v>
      </c>
      <c r="EV166" t="n">
        <v>15355</v>
      </c>
      <c r="EW166" t="n">
        <v>12710</v>
      </c>
      <c r="EX166" t="n">
        <v>10614</v>
      </c>
      <c r="EY166" t="n">
        <v>16581</v>
      </c>
    </row>
    <row r="167">
      <c r="B167" t="inlineStr">
        <is>
          <t>Indenizações à Clientes</t>
        </is>
      </c>
      <c r="C167">
        <f>IFERROR(CHOOSE(MATCH($B$6,{"Ano Completo","1º Semestre","2º Semestre","1º Trimestre","2º Trimestre","3º Trimestre","4º Trimestre"},0),SUM(D167:O167),SUM(D167:I167),SUM(J167:O167),SUM(D167:F167),SUM(G167:I167),SUM(J167:L167),SUM(M167:O167)),0)</f>
        <v/>
      </c>
      <c r="R167" t="inlineStr">
        <is>
          <t>Indenizações à Clientes</t>
        </is>
      </c>
      <c r="S167">
        <f>IFERROR(CHOOSE(MATCH($R$6,{"Ano Completo","1º Semestre","2º Semestre","1º Trimestre","2º Trimestre","3º Trimestre","4º Trimestre"},0),SUM(T167:AE167),SUM(T167:Y167),SUM(Z167:AE167),SUM(T167:V167),SUM(W167:Y167),SUM(Z167:AB167),SUM(AC167:AE167)),0)</f>
        <v/>
      </c>
      <c r="AG167" t="inlineStr">
        <is>
          <t>Indenizações à Clientes</t>
        </is>
      </c>
      <c r="AH167">
        <f>IFERROR(CHOOSE(MATCH($AG$6,{"Ano Completo","1º Semestre","2º Semestre","1º Trimestre","2º Trimestre","3º Trimestre","4º Trimestre"},0),SUM(AI167:AT167),SUM(AI167:AN167),SUM(AO167:AT167),SUM(AI167:AK167),SUM(AL167:AN167),SUM(AO167:AQ167),SUM(AR167:AT167)),0)</f>
        <v/>
      </c>
      <c r="AI167" t="n">
        <v>6808</v>
      </c>
      <c r="AJ167" t="n">
        <v>4434</v>
      </c>
      <c r="AK167" t="n">
        <v>16802</v>
      </c>
      <c r="AL167" t="n">
        <v>14269</v>
      </c>
      <c r="AM167" t="n">
        <v>18822</v>
      </c>
      <c r="AN167" t="n">
        <v>12809</v>
      </c>
      <c r="AO167" t="n">
        <v>8749</v>
      </c>
      <c r="AP167" t="n">
        <v>10947</v>
      </c>
      <c r="AQ167" t="n">
        <v>18423</v>
      </c>
      <c r="AR167" t="n">
        <v>12099</v>
      </c>
      <c r="AS167" t="n">
        <v>11287</v>
      </c>
      <c r="AT167" t="n">
        <v>5112</v>
      </c>
      <c r="AW167" t="inlineStr">
        <is>
          <t>Indenizações à Clientes</t>
        </is>
      </c>
      <c r="AX167">
        <f>IFERROR(CHOOSE(MATCH($AW$6,{"Ano Completo","1º Semestre","2º Semestre","1º Trimestre","2º Trimestre","3º Trimestre","4º Trimestre"},0),SUM(AY167:BJ167),SUM(AY167:BD167),SUM(BE167:BJ167),SUM(AY167:BA167),SUM(BB167:BD167),SUM(BE167:BG167),SUM(BH167:BJ167)),0)</f>
        <v/>
      </c>
      <c r="AY167" t="n">
        <v>6248</v>
      </c>
      <c r="AZ167" t="n">
        <v>10149</v>
      </c>
      <c r="BA167" t="n">
        <v>16392</v>
      </c>
      <c r="BB167" t="n">
        <v>14759</v>
      </c>
      <c r="BC167" t="n">
        <v>2144</v>
      </c>
      <c r="BD167" t="n">
        <v>7862</v>
      </c>
      <c r="BE167" t="n">
        <v>13387</v>
      </c>
      <c r="BF167" t="n">
        <v>9321</v>
      </c>
      <c r="BG167" t="n">
        <v>5825</v>
      </c>
      <c r="BH167" t="n">
        <v>2810</v>
      </c>
      <c r="BI167" t="n">
        <v>18535</v>
      </c>
      <c r="BJ167" t="n">
        <v>1153</v>
      </c>
      <c r="BL167" t="inlineStr">
        <is>
          <t>Indenizações à Clientes</t>
        </is>
      </c>
      <c r="BM167">
        <f>IFERROR(CHOOSE(MATCH($BL$6,{"Ano Completo","1º Semestre","2º Semestre","1º Trimestre","2º Trimestre","3º Trimestre","4º Trimestre"},0),SUM(BN167:BY167),SUM(BN167:BS167),SUM(BT167:BY167),SUM(BN167:BP167),SUM(BQ167:BS167),SUM(BT167:BV167),SUM(BW167:BY167)),0)</f>
        <v/>
      </c>
      <c r="BN167" t="n">
        <v>6808</v>
      </c>
      <c r="BO167" t="n">
        <v>4434</v>
      </c>
      <c r="BP167" t="n">
        <v>16802</v>
      </c>
      <c r="BQ167" t="n">
        <v>14269</v>
      </c>
      <c r="BR167" t="n">
        <v>18822</v>
      </c>
      <c r="BS167" t="n">
        <v>12809</v>
      </c>
      <c r="BT167" t="n">
        <v>8749</v>
      </c>
      <c r="BU167" t="n">
        <v>10947</v>
      </c>
      <c r="BV167" t="n">
        <v>18423</v>
      </c>
      <c r="BW167" t="n">
        <v>12099</v>
      </c>
      <c r="BX167" t="n">
        <v>11287</v>
      </c>
      <c r="BY167" t="n">
        <v>5112</v>
      </c>
      <c r="CB167" t="inlineStr">
        <is>
          <t>Indenizações à Clientes</t>
        </is>
      </c>
      <c r="CC167">
        <f>IFERROR(CHOOSE(MATCH($CB$6,{"Ano Completo","1º Semestre","2º Semestre","1º Trimestre","2º Trimestre","3º Trimestre","4º Trimestre"},0),SUM(CD167:CO167),SUM(CD167:CI167),SUM(CJ167:CO167),SUM(CD167:CF167),SUM(CG167:CI167),SUM(CJ167:CL167),SUM(CM167:CO167)),0)</f>
        <v/>
      </c>
      <c r="CD167" t="n">
        <v>6248</v>
      </c>
      <c r="CE167" t="n">
        <v>10149</v>
      </c>
      <c r="CF167" t="n">
        <v>16392</v>
      </c>
      <c r="CG167" t="n">
        <v>14759</v>
      </c>
      <c r="CH167" t="n">
        <v>2144</v>
      </c>
      <c r="CI167" t="n">
        <v>7862</v>
      </c>
      <c r="CJ167" t="n">
        <v>13387</v>
      </c>
      <c r="CK167" t="n">
        <v>9321</v>
      </c>
      <c r="CL167" t="n">
        <v>5825</v>
      </c>
      <c r="CM167" t="n">
        <v>2810</v>
      </c>
      <c r="CN167" t="n">
        <v>18535</v>
      </c>
      <c r="CO167" t="n">
        <v>1153</v>
      </c>
      <c r="CQ167" t="inlineStr">
        <is>
          <t>Indenizações à Clientes</t>
        </is>
      </c>
      <c r="CR167">
        <f>IFERROR(CHOOSE(MATCH($CQ$6,{"Ano Completo","1º Semestre","2º Semestre","1º Trimestre","2º Trimestre","3º Trimestre","4º Trimestre"},0),SUM(CS167:DD167),SUM(CS167:CX167),SUM(CY167:DD167),SUM(CS167:CU167),SUM(CV167:CX167),SUM(CY167:DA167),SUM(DB167:DD167)),0)</f>
        <v/>
      </c>
      <c r="CS167" t="n">
        <v>6808</v>
      </c>
      <c r="CT167" t="n">
        <v>4434</v>
      </c>
      <c r="CU167" t="n">
        <v>16802</v>
      </c>
      <c r="CV167" t="n">
        <v>14269</v>
      </c>
      <c r="CW167" t="n">
        <v>18822</v>
      </c>
      <c r="CX167" t="n">
        <v>12809</v>
      </c>
      <c r="CY167" t="n">
        <v>8749</v>
      </c>
      <c r="CZ167" t="n">
        <v>10947</v>
      </c>
      <c r="DA167" t="n">
        <v>18423</v>
      </c>
      <c r="DB167" t="n">
        <v>12099</v>
      </c>
      <c r="DC167" t="n">
        <v>11287</v>
      </c>
      <c r="DD167" t="n">
        <v>5112</v>
      </c>
      <c r="DG167" t="inlineStr">
        <is>
          <t>Indenizações à Clientes</t>
        </is>
      </c>
      <c r="DH167">
        <f>IFERROR(CHOOSE(MATCH($DG$6,{"Ano Completo","1º Semestre","2º Semestre","1º Trimestre","2º Trimestre","3º Trimestre","4º Trimestre"},0),SUM(DI167:DT167),SUM(DI167:DN167),SUM(DO167:DT167),SUM(DI167:DK167),SUM(DL167:DN167),SUM(DO167:DQ167),SUM(DR167:DT167)),0)</f>
        <v/>
      </c>
      <c r="DI167" t="n">
        <v>6248</v>
      </c>
      <c r="DJ167" t="n">
        <v>10149</v>
      </c>
      <c r="DK167" t="n">
        <v>16392</v>
      </c>
      <c r="DL167" t="n">
        <v>14759</v>
      </c>
      <c r="DM167" t="n">
        <v>2144</v>
      </c>
      <c r="DN167" t="n">
        <v>7862</v>
      </c>
      <c r="DO167" t="n">
        <v>13387</v>
      </c>
      <c r="DP167" t="n">
        <v>9321</v>
      </c>
      <c r="DQ167" t="n">
        <v>5825</v>
      </c>
      <c r="DR167" t="n">
        <v>2810</v>
      </c>
      <c r="DS167" t="n">
        <v>18535</v>
      </c>
      <c r="DT167" t="n">
        <v>1153</v>
      </c>
      <c r="DV167" t="inlineStr">
        <is>
          <t>Indenizações à Clientes</t>
        </is>
      </c>
      <c r="DW167">
        <f>IFERROR(CHOOSE(MATCH($DV$6,{"Ano Completo","1º Semestre","2º Semestre","1º Trimestre","2º Trimestre","3º Trimestre","4º Trimestre"},0),SUM(DX167:EI167),SUM(DX167:EC167),SUM(ED167:EI167),SUM(DX167:DZ167),SUM(EA167:EC167),SUM(ED167:EF167),SUM(EG167:EI167)),0)</f>
        <v/>
      </c>
      <c r="DX167" t="n">
        <v>6808</v>
      </c>
      <c r="DY167" t="n">
        <v>4434</v>
      </c>
      <c r="DZ167" t="n">
        <v>16802</v>
      </c>
      <c r="EA167" t="n">
        <v>14269</v>
      </c>
      <c r="EB167" t="n">
        <v>18822</v>
      </c>
      <c r="EC167" t="n">
        <v>12809</v>
      </c>
      <c r="ED167" t="n">
        <v>8749</v>
      </c>
      <c r="EE167" t="n">
        <v>10947</v>
      </c>
      <c r="EF167" t="n">
        <v>18423</v>
      </c>
      <c r="EG167" t="n">
        <v>12099</v>
      </c>
      <c r="EH167" t="n">
        <v>11287</v>
      </c>
      <c r="EI167" t="n">
        <v>5112</v>
      </c>
      <c r="EL167" t="inlineStr">
        <is>
          <t>Indenizações à Clientes</t>
        </is>
      </c>
      <c r="EM167">
        <f>IFERROR(CHOOSE(MATCH($EL$6,{"Ano Completo","1º Semestre","2º Semestre","1º Trimestre","2º Trimestre","3º Trimestre","4º Trimestre"},0),SUM(EN167:EY167),SUM(EN167:ES167),SUM(ET167:EY167),SUM(EN167:EP167),SUM(EQ167:ES167),SUM(ET167:EV167),SUM(EW167:EY167)),0)</f>
        <v/>
      </c>
      <c r="EN167" t="n">
        <v>6248</v>
      </c>
      <c r="EO167" t="n">
        <v>10149</v>
      </c>
      <c r="EP167" t="n">
        <v>16392</v>
      </c>
      <c r="EQ167" t="n">
        <v>14759</v>
      </c>
      <c r="ER167" t="n">
        <v>2144</v>
      </c>
      <c r="ES167" t="n">
        <v>7862</v>
      </c>
      <c r="ET167" t="n">
        <v>13387</v>
      </c>
      <c r="EU167" t="n">
        <v>9321</v>
      </c>
      <c r="EV167" t="n">
        <v>5825</v>
      </c>
      <c r="EW167" t="n">
        <v>2810</v>
      </c>
      <c r="EX167" t="n">
        <v>18535</v>
      </c>
      <c r="EY167" t="n">
        <v>1153</v>
      </c>
    </row>
    <row r="168">
      <c r="B168" t="inlineStr">
        <is>
          <t>Receitas financeiras (Investimentos)</t>
        </is>
      </c>
      <c r="C168">
        <f>IFERROR(CHOOSE(MATCH($B$6,{"Ano Completo","1º Semestre","2º Semestre","1º Trimestre","2º Trimestre","3º Trimestre","4º Trimestre"},0),SUM(D168:O168),SUM(D168:I168),SUM(J168:O168),SUM(D168:F168),SUM(G168:I168),SUM(J168:L168),SUM(M168:O168)),0)</f>
        <v/>
      </c>
      <c r="R168" t="inlineStr">
        <is>
          <t>Receitas financeiras (Investimentos)</t>
        </is>
      </c>
      <c r="S168">
        <f>IFERROR(CHOOSE(MATCH($R$6,{"Ano Completo","1º Semestre","2º Semestre","1º Trimestre","2º Trimestre","3º Trimestre","4º Trimestre"},0),SUM(T168:AE168),SUM(T168:Y168),SUM(Z168:AE168),SUM(T168:V168),SUM(W168:Y168),SUM(Z168:AB168),SUM(AC168:AE168)),0)</f>
        <v/>
      </c>
      <c r="AG168" t="inlineStr">
        <is>
          <t>Receitas financeiras (Investimentos)</t>
        </is>
      </c>
      <c r="AH168">
        <f>IFERROR(CHOOSE(MATCH($AG$6,{"Ano Completo","1º Semestre","2º Semestre","1º Trimestre","2º Trimestre","3º Trimestre","4º Trimestre"},0),SUM(AI168:AT168),SUM(AI168:AN168),SUM(AO168:AT168),SUM(AI168:AK168),SUM(AL168:AN168),SUM(AO168:AQ168),SUM(AR168:AT168)),0)</f>
        <v/>
      </c>
      <c r="AI168" t="n">
        <v>5486</v>
      </c>
      <c r="AJ168" t="n">
        <v>19985</v>
      </c>
      <c r="AK168" t="n">
        <v>11139</v>
      </c>
      <c r="AL168" t="n">
        <v>6831</v>
      </c>
      <c r="AM168" t="n">
        <v>15162</v>
      </c>
      <c r="AN168" t="n">
        <v>18509</v>
      </c>
      <c r="AO168" t="n">
        <v>3387</v>
      </c>
      <c r="AP168" t="n">
        <v>14192</v>
      </c>
      <c r="AQ168" t="n">
        <v>11097</v>
      </c>
      <c r="AR168" t="n">
        <v>1829</v>
      </c>
      <c r="AS168" t="n">
        <v>8017</v>
      </c>
      <c r="AT168" t="n">
        <v>10066</v>
      </c>
      <c r="AW168" t="inlineStr">
        <is>
          <t>Receitas financeiras (Investimentos)</t>
        </is>
      </c>
      <c r="AX168">
        <f>IFERROR(CHOOSE(MATCH($AW$6,{"Ano Completo","1º Semestre","2º Semestre","1º Trimestre","2º Trimestre","3º Trimestre","4º Trimestre"},0),SUM(AY168:BJ168),SUM(AY168:BD168),SUM(BE168:BJ168),SUM(AY168:BA168),SUM(BB168:BD168),SUM(BE168:BG168),SUM(BH168:BJ168)),0)</f>
        <v/>
      </c>
      <c r="AY168" t="n">
        <v>2664</v>
      </c>
      <c r="AZ168" t="n">
        <v>9403</v>
      </c>
      <c r="BA168" t="n">
        <v>14334</v>
      </c>
      <c r="BB168" t="n">
        <v>13189</v>
      </c>
      <c r="BC168" t="n">
        <v>13726</v>
      </c>
      <c r="BD168" t="n">
        <v>5415</v>
      </c>
      <c r="BE168" t="n">
        <v>7207</v>
      </c>
      <c r="BF168" t="n">
        <v>4164</v>
      </c>
      <c r="BG168" t="n">
        <v>9469</v>
      </c>
      <c r="BH168" t="n">
        <v>3750</v>
      </c>
      <c r="BI168" t="n">
        <v>15636</v>
      </c>
      <c r="BJ168" t="n">
        <v>4654</v>
      </c>
      <c r="BL168" t="inlineStr">
        <is>
          <t>Receitas financeiras (Investimentos)</t>
        </is>
      </c>
      <c r="BM168">
        <f>IFERROR(CHOOSE(MATCH($BL$6,{"Ano Completo","1º Semestre","2º Semestre","1º Trimestre","2º Trimestre","3º Trimestre","4º Trimestre"},0),SUM(BN168:BY168),SUM(BN168:BS168),SUM(BT168:BY168),SUM(BN168:BP168),SUM(BQ168:BS168),SUM(BT168:BV168),SUM(BW168:BY168)),0)</f>
        <v/>
      </c>
      <c r="BN168" t="n">
        <v>5486</v>
      </c>
      <c r="BO168" t="n">
        <v>19985</v>
      </c>
      <c r="BP168" t="n">
        <v>11139</v>
      </c>
      <c r="BQ168" t="n">
        <v>6831</v>
      </c>
      <c r="BR168" t="n">
        <v>15162</v>
      </c>
      <c r="BS168" t="n">
        <v>18509</v>
      </c>
      <c r="BT168" t="n">
        <v>3387</v>
      </c>
      <c r="BU168" t="n">
        <v>14192</v>
      </c>
      <c r="BV168" t="n">
        <v>11097</v>
      </c>
      <c r="BW168" t="n">
        <v>1829</v>
      </c>
      <c r="BX168" t="n">
        <v>8017</v>
      </c>
      <c r="BY168" t="n">
        <v>10066</v>
      </c>
      <c r="CB168" t="inlineStr">
        <is>
          <t>Receitas financeiras (Investimentos)</t>
        </is>
      </c>
      <c r="CC168">
        <f>IFERROR(CHOOSE(MATCH($CB$6,{"Ano Completo","1º Semestre","2º Semestre","1º Trimestre","2º Trimestre","3º Trimestre","4º Trimestre"},0),SUM(CD168:CO168),SUM(CD168:CI168),SUM(CJ168:CO168),SUM(CD168:CF168),SUM(CG168:CI168),SUM(CJ168:CL168),SUM(CM168:CO168)),0)</f>
        <v/>
      </c>
      <c r="CD168" t="n">
        <v>2664</v>
      </c>
      <c r="CE168" t="n">
        <v>9403</v>
      </c>
      <c r="CF168" t="n">
        <v>14334</v>
      </c>
      <c r="CG168" t="n">
        <v>13189</v>
      </c>
      <c r="CH168" t="n">
        <v>13726</v>
      </c>
      <c r="CI168" t="n">
        <v>5415</v>
      </c>
      <c r="CJ168" t="n">
        <v>7207</v>
      </c>
      <c r="CK168" t="n">
        <v>4164</v>
      </c>
      <c r="CL168" t="n">
        <v>9469</v>
      </c>
      <c r="CM168" t="n">
        <v>3750</v>
      </c>
      <c r="CN168" t="n">
        <v>15636</v>
      </c>
      <c r="CO168" t="n">
        <v>4654</v>
      </c>
      <c r="CQ168" t="inlineStr">
        <is>
          <t>Receitas financeiras (Investimentos)</t>
        </is>
      </c>
      <c r="CR168">
        <f>IFERROR(CHOOSE(MATCH($CQ$6,{"Ano Completo","1º Semestre","2º Semestre","1º Trimestre","2º Trimestre","3º Trimestre","4º Trimestre"},0),SUM(CS168:DD168),SUM(CS168:CX168),SUM(CY168:DD168),SUM(CS168:CU168),SUM(CV168:CX168),SUM(CY168:DA168),SUM(DB168:DD168)),0)</f>
        <v/>
      </c>
      <c r="CS168" t="n">
        <v>5486</v>
      </c>
      <c r="CT168" t="n">
        <v>19985</v>
      </c>
      <c r="CU168" t="n">
        <v>11139</v>
      </c>
      <c r="CV168" t="n">
        <v>6831</v>
      </c>
      <c r="CW168" t="n">
        <v>15162</v>
      </c>
      <c r="CX168" t="n">
        <v>18509</v>
      </c>
      <c r="CY168" t="n">
        <v>3387</v>
      </c>
      <c r="CZ168" t="n">
        <v>14192</v>
      </c>
      <c r="DA168" t="n">
        <v>11097</v>
      </c>
      <c r="DB168" t="n">
        <v>1829</v>
      </c>
      <c r="DC168" t="n">
        <v>8017</v>
      </c>
      <c r="DD168" t="n">
        <v>10066</v>
      </c>
      <c r="DG168" t="inlineStr">
        <is>
          <t>Receitas financeiras (Investimentos)</t>
        </is>
      </c>
      <c r="DH168">
        <f>IFERROR(CHOOSE(MATCH($DG$6,{"Ano Completo","1º Semestre","2º Semestre","1º Trimestre","2º Trimestre","3º Trimestre","4º Trimestre"},0),SUM(DI168:DT168),SUM(DI168:DN168),SUM(DO168:DT168),SUM(DI168:DK168),SUM(DL168:DN168),SUM(DO168:DQ168),SUM(DR168:DT168)),0)</f>
        <v/>
      </c>
      <c r="DI168" t="n">
        <v>2664</v>
      </c>
      <c r="DJ168" t="n">
        <v>9403</v>
      </c>
      <c r="DK168" t="n">
        <v>14334</v>
      </c>
      <c r="DL168" t="n">
        <v>13189</v>
      </c>
      <c r="DM168" t="n">
        <v>13726</v>
      </c>
      <c r="DN168" t="n">
        <v>5415</v>
      </c>
      <c r="DO168" t="n">
        <v>7207</v>
      </c>
      <c r="DP168" t="n">
        <v>4164</v>
      </c>
      <c r="DQ168" t="n">
        <v>9469</v>
      </c>
      <c r="DR168" t="n">
        <v>3750</v>
      </c>
      <c r="DS168" t="n">
        <v>15636</v>
      </c>
      <c r="DT168" t="n">
        <v>4654</v>
      </c>
      <c r="DV168" t="inlineStr">
        <is>
          <t>Receitas financeiras (Investimentos)</t>
        </is>
      </c>
      <c r="DW168">
        <f>IFERROR(CHOOSE(MATCH($DV$6,{"Ano Completo","1º Semestre","2º Semestre","1º Trimestre","2º Trimestre","3º Trimestre","4º Trimestre"},0),SUM(DX168:EI168),SUM(DX168:EC168),SUM(ED168:EI168),SUM(DX168:DZ168),SUM(EA168:EC168),SUM(ED168:EF168),SUM(EG168:EI168)),0)</f>
        <v/>
      </c>
      <c r="DX168" t="n">
        <v>5486</v>
      </c>
      <c r="DY168" t="n">
        <v>19985</v>
      </c>
      <c r="DZ168" t="n">
        <v>11139</v>
      </c>
      <c r="EA168" t="n">
        <v>6831</v>
      </c>
      <c r="EB168" t="n">
        <v>15162</v>
      </c>
      <c r="EC168" t="n">
        <v>18509</v>
      </c>
      <c r="ED168" t="n">
        <v>3387</v>
      </c>
      <c r="EE168" t="n">
        <v>14192</v>
      </c>
      <c r="EF168" t="n">
        <v>11097</v>
      </c>
      <c r="EG168" t="n">
        <v>1829</v>
      </c>
      <c r="EH168" t="n">
        <v>8017</v>
      </c>
      <c r="EI168" t="n">
        <v>10066</v>
      </c>
      <c r="EL168" t="inlineStr">
        <is>
          <t>Receitas financeiras (Investimentos)</t>
        </is>
      </c>
      <c r="EM168">
        <f>IFERROR(CHOOSE(MATCH($EL$6,{"Ano Completo","1º Semestre","2º Semestre","1º Trimestre","2º Trimestre","3º Trimestre","4º Trimestre"},0),SUM(EN168:EY168),SUM(EN168:ES168),SUM(ET168:EY168),SUM(EN168:EP168),SUM(EQ168:ES168),SUM(ET168:EV168),SUM(EW168:EY168)),0)</f>
        <v/>
      </c>
      <c r="EN168" t="n">
        <v>2664</v>
      </c>
      <c r="EO168" t="n">
        <v>9403</v>
      </c>
      <c r="EP168" t="n">
        <v>14334</v>
      </c>
      <c r="EQ168" t="n">
        <v>13189</v>
      </c>
      <c r="ER168" t="n">
        <v>13726</v>
      </c>
      <c r="ES168" t="n">
        <v>5415</v>
      </c>
      <c r="ET168" t="n">
        <v>7207</v>
      </c>
      <c r="EU168" t="n">
        <v>4164</v>
      </c>
      <c r="EV168" t="n">
        <v>9469</v>
      </c>
      <c r="EW168" t="n">
        <v>3750</v>
      </c>
      <c r="EX168" t="n">
        <v>15636</v>
      </c>
      <c r="EY168" t="n">
        <v>4654</v>
      </c>
    </row>
    <row r="169">
      <c r="B169" t="inlineStr">
        <is>
          <t>Refeições (Almoços clientes/Equipe)</t>
        </is>
      </c>
      <c r="C169">
        <f>IFERROR(CHOOSE(MATCH($B$6,{"Ano Completo","1º Semestre","2º Semestre","1º Trimestre","2º Trimestre","3º Trimestre","4º Trimestre"},0),SUM(D169:O169),SUM(D169:I169),SUM(J169:O169),SUM(D169:F169),SUM(G169:I169),SUM(J169:L169),SUM(M169:O169)),0)</f>
        <v/>
      </c>
      <c r="R169" t="inlineStr">
        <is>
          <t>Refeições (Almoços clientes/Equipe)</t>
        </is>
      </c>
      <c r="S169">
        <f>IFERROR(CHOOSE(MATCH($R$6,{"Ano Completo","1º Semestre","2º Semestre","1º Trimestre","2º Trimestre","3º Trimestre","4º Trimestre"},0),SUM(T169:AE169),SUM(T169:Y169),SUM(Z169:AE169),SUM(T169:V169),SUM(W169:Y169),SUM(Z169:AB169),SUM(AC169:AE169)),0)</f>
        <v/>
      </c>
      <c r="AG169" t="inlineStr">
        <is>
          <t>Refeições (Almoços clientes/Equipe)</t>
        </is>
      </c>
      <c r="AH169">
        <f>IFERROR(CHOOSE(MATCH($AG$6,{"Ano Completo","1º Semestre","2º Semestre","1º Trimestre","2º Trimestre","3º Trimestre","4º Trimestre"},0),SUM(AI169:AT169),SUM(AI169:AN169),SUM(AO169:AT169),SUM(AI169:AK169),SUM(AL169:AN169),SUM(AO169:AQ169),SUM(AR169:AT169)),0)</f>
        <v/>
      </c>
      <c r="AI169" t="n">
        <v>4414</v>
      </c>
      <c r="AJ169" t="n">
        <v>5215</v>
      </c>
      <c r="AK169" t="n">
        <v>12475</v>
      </c>
      <c r="AL169" t="n">
        <v>19921</v>
      </c>
      <c r="AM169" t="n">
        <v>9450</v>
      </c>
      <c r="AN169" t="n">
        <v>11858</v>
      </c>
      <c r="AO169" t="n">
        <v>6842</v>
      </c>
      <c r="AP169" t="n">
        <v>13679</v>
      </c>
      <c r="AQ169" t="n">
        <v>15617</v>
      </c>
      <c r="AR169" t="n">
        <v>15859</v>
      </c>
      <c r="AS169" t="n">
        <v>18487</v>
      </c>
      <c r="AT169" t="n">
        <v>14272</v>
      </c>
      <c r="AW169" t="inlineStr">
        <is>
          <t>Refeições (Almoços clientes/Equipe)</t>
        </is>
      </c>
      <c r="AX169">
        <f>IFERROR(CHOOSE(MATCH($AW$6,{"Ano Completo","1º Semestre","2º Semestre","1º Trimestre","2º Trimestre","3º Trimestre","4º Trimestre"},0),SUM(AY169:BJ169),SUM(AY169:BD169),SUM(BE169:BJ169),SUM(AY169:BA169),SUM(BB169:BD169),SUM(BE169:BG169),SUM(BH169:BJ169)),0)</f>
        <v/>
      </c>
      <c r="AY169" t="n">
        <v>17895</v>
      </c>
      <c r="AZ169" t="n">
        <v>17977</v>
      </c>
      <c r="BA169" t="n">
        <v>11842</v>
      </c>
      <c r="BB169" t="n">
        <v>12622</v>
      </c>
      <c r="BC169" t="n">
        <v>6232</v>
      </c>
      <c r="BD169" t="n">
        <v>10819</v>
      </c>
      <c r="BE169" t="n">
        <v>1027</v>
      </c>
      <c r="BF169" t="n">
        <v>5271</v>
      </c>
      <c r="BG169" t="n">
        <v>18885</v>
      </c>
      <c r="BH169" t="n">
        <v>7329</v>
      </c>
      <c r="BI169" t="n">
        <v>11659</v>
      </c>
      <c r="BJ169" t="n">
        <v>3474</v>
      </c>
      <c r="BL169" t="inlineStr">
        <is>
          <t>Refeições (Almoços clientes/Equipe)</t>
        </is>
      </c>
      <c r="BM169">
        <f>IFERROR(CHOOSE(MATCH($BL$6,{"Ano Completo","1º Semestre","2º Semestre","1º Trimestre","2º Trimestre","3º Trimestre","4º Trimestre"},0),SUM(BN169:BY169),SUM(BN169:BS169),SUM(BT169:BY169),SUM(BN169:BP169),SUM(BQ169:BS169),SUM(BT169:BV169),SUM(BW169:BY169)),0)</f>
        <v/>
      </c>
      <c r="BN169" t="n">
        <v>4414</v>
      </c>
      <c r="BO169" t="n">
        <v>5215</v>
      </c>
      <c r="BP169" t="n">
        <v>12475</v>
      </c>
      <c r="BQ169" t="n">
        <v>19921</v>
      </c>
      <c r="BR169" t="n">
        <v>9450</v>
      </c>
      <c r="BS169" t="n">
        <v>11858</v>
      </c>
      <c r="BT169" t="n">
        <v>6842</v>
      </c>
      <c r="BU169" t="n">
        <v>13679</v>
      </c>
      <c r="BV169" t="n">
        <v>15617</v>
      </c>
      <c r="BW169" t="n">
        <v>15859</v>
      </c>
      <c r="BX169" t="n">
        <v>18487</v>
      </c>
      <c r="BY169" t="n">
        <v>14272</v>
      </c>
      <c r="CB169" t="inlineStr">
        <is>
          <t>Refeições (Almoços clientes/Equipe)</t>
        </is>
      </c>
      <c r="CC169">
        <f>IFERROR(CHOOSE(MATCH($CB$6,{"Ano Completo","1º Semestre","2º Semestre","1º Trimestre","2º Trimestre","3º Trimestre","4º Trimestre"},0),SUM(CD169:CO169),SUM(CD169:CI169),SUM(CJ169:CO169),SUM(CD169:CF169),SUM(CG169:CI169),SUM(CJ169:CL169),SUM(CM169:CO169)),0)</f>
        <v/>
      </c>
      <c r="CD169" t="n">
        <v>17895</v>
      </c>
      <c r="CE169" t="n">
        <v>17977</v>
      </c>
      <c r="CF169" t="n">
        <v>11842</v>
      </c>
      <c r="CG169" t="n">
        <v>12622</v>
      </c>
      <c r="CH169" t="n">
        <v>6232</v>
      </c>
      <c r="CI169" t="n">
        <v>10819</v>
      </c>
      <c r="CJ169" t="n">
        <v>1027</v>
      </c>
      <c r="CK169" t="n">
        <v>5271</v>
      </c>
      <c r="CL169" t="n">
        <v>18885</v>
      </c>
      <c r="CM169" t="n">
        <v>7329</v>
      </c>
      <c r="CN169" t="n">
        <v>11659</v>
      </c>
      <c r="CO169" t="n">
        <v>3474</v>
      </c>
      <c r="CQ169" t="inlineStr">
        <is>
          <t>Refeições (Almoços clientes/Equipe)</t>
        </is>
      </c>
      <c r="CR169">
        <f>IFERROR(CHOOSE(MATCH($CQ$6,{"Ano Completo","1º Semestre","2º Semestre","1º Trimestre","2º Trimestre","3º Trimestre","4º Trimestre"},0),SUM(CS169:DD169),SUM(CS169:CX169),SUM(CY169:DD169),SUM(CS169:CU169),SUM(CV169:CX169),SUM(CY169:DA169),SUM(DB169:DD169)),0)</f>
        <v/>
      </c>
      <c r="CS169" t="n">
        <v>4414</v>
      </c>
      <c r="CT169" t="n">
        <v>5215</v>
      </c>
      <c r="CU169" t="n">
        <v>12475</v>
      </c>
      <c r="CV169" t="n">
        <v>19921</v>
      </c>
      <c r="CW169" t="n">
        <v>9450</v>
      </c>
      <c r="CX169" t="n">
        <v>11858</v>
      </c>
      <c r="CY169" t="n">
        <v>6842</v>
      </c>
      <c r="CZ169" t="n">
        <v>13679</v>
      </c>
      <c r="DA169" t="n">
        <v>15617</v>
      </c>
      <c r="DB169" t="n">
        <v>15859</v>
      </c>
      <c r="DC169" t="n">
        <v>18487</v>
      </c>
      <c r="DD169" t="n">
        <v>14272</v>
      </c>
      <c r="DG169" t="inlineStr">
        <is>
          <t>Refeições (Almoços clientes/Equipe)</t>
        </is>
      </c>
      <c r="DH169">
        <f>IFERROR(CHOOSE(MATCH($DG$6,{"Ano Completo","1º Semestre","2º Semestre","1º Trimestre","2º Trimestre","3º Trimestre","4º Trimestre"},0),SUM(DI169:DT169),SUM(DI169:DN169),SUM(DO169:DT169),SUM(DI169:DK169),SUM(DL169:DN169),SUM(DO169:DQ169),SUM(DR169:DT169)),0)</f>
        <v/>
      </c>
      <c r="DI169" t="n">
        <v>17895</v>
      </c>
      <c r="DJ169" t="n">
        <v>17977</v>
      </c>
      <c r="DK169" t="n">
        <v>11842</v>
      </c>
      <c r="DL169" t="n">
        <v>12622</v>
      </c>
      <c r="DM169" t="n">
        <v>6232</v>
      </c>
      <c r="DN169" t="n">
        <v>10819</v>
      </c>
      <c r="DO169" t="n">
        <v>1027</v>
      </c>
      <c r="DP169" t="n">
        <v>5271</v>
      </c>
      <c r="DQ169" t="n">
        <v>18885</v>
      </c>
      <c r="DR169" t="n">
        <v>7329</v>
      </c>
      <c r="DS169" t="n">
        <v>11659</v>
      </c>
      <c r="DT169" t="n">
        <v>3474</v>
      </c>
      <c r="DV169" t="inlineStr">
        <is>
          <t>Refeições (Almoços clientes/Equipe)</t>
        </is>
      </c>
      <c r="DW169">
        <f>IFERROR(CHOOSE(MATCH($DV$6,{"Ano Completo","1º Semestre","2º Semestre","1º Trimestre","2º Trimestre","3º Trimestre","4º Trimestre"},0),SUM(DX169:EI169),SUM(DX169:EC169),SUM(ED169:EI169),SUM(DX169:DZ169),SUM(EA169:EC169),SUM(ED169:EF169),SUM(EG169:EI169)),0)</f>
        <v/>
      </c>
      <c r="DX169" t="n">
        <v>4414</v>
      </c>
      <c r="DY169" t="n">
        <v>5215</v>
      </c>
      <c r="DZ169" t="n">
        <v>12475</v>
      </c>
      <c r="EA169" t="n">
        <v>19921</v>
      </c>
      <c r="EB169" t="n">
        <v>9450</v>
      </c>
      <c r="EC169" t="n">
        <v>11858</v>
      </c>
      <c r="ED169" t="n">
        <v>6842</v>
      </c>
      <c r="EE169" t="n">
        <v>13679</v>
      </c>
      <c r="EF169" t="n">
        <v>15617</v>
      </c>
      <c r="EG169" t="n">
        <v>15859</v>
      </c>
      <c r="EH169" t="n">
        <v>18487</v>
      </c>
      <c r="EI169" t="n">
        <v>14272</v>
      </c>
      <c r="EL169" t="inlineStr">
        <is>
          <t>Refeições (Almoços clientes/Equipe)</t>
        </is>
      </c>
      <c r="EM169">
        <f>IFERROR(CHOOSE(MATCH($EL$6,{"Ano Completo","1º Semestre","2º Semestre","1º Trimestre","2º Trimestre","3º Trimestre","4º Trimestre"},0),SUM(EN169:EY169),SUM(EN169:ES169),SUM(ET169:EY169),SUM(EN169:EP169),SUM(EQ169:ES169),SUM(ET169:EV169),SUM(EW169:EY169)),0)</f>
        <v/>
      </c>
      <c r="EN169" t="n">
        <v>17895</v>
      </c>
      <c r="EO169" t="n">
        <v>17977</v>
      </c>
      <c r="EP169" t="n">
        <v>11842</v>
      </c>
      <c r="EQ169" t="n">
        <v>12622</v>
      </c>
      <c r="ER169" t="n">
        <v>6232</v>
      </c>
      <c r="ES169" t="n">
        <v>10819</v>
      </c>
      <c r="ET169" t="n">
        <v>1027</v>
      </c>
      <c r="EU169" t="n">
        <v>5271</v>
      </c>
      <c r="EV169" t="n">
        <v>18885</v>
      </c>
      <c r="EW169" t="n">
        <v>7329</v>
      </c>
      <c r="EX169" t="n">
        <v>11659</v>
      </c>
      <c r="EY169" t="n">
        <v>3474</v>
      </c>
    </row>
    <row r="170">
      <c r="B170" t="inlineStr">
        <is>
          <t>Transporte</t>
        </is>
      </c>
      <c r="C170">
        <f>IFERROR(CHOOSE(MATCH($B$6,{"Ano Completo","1º Semestre","2º Semestre","1º Trimestre","2º Trimestre","3º Trimestre","4º Trimestre"},0),SUM(D170:O170),SUM(D170:I170),SUM(J170:O170),SUM(D170:F170),SUM(G170:I170),SUM(J170:L170),SUM(M170:O170)),0)</f>
        <v/>
      </c>
      <c r="R170" t="inlineStr">
        <is>
          <t>Transporte</t>
        </is>
      </c>
      <c r="S170">
        <f>IFERROR(CHOOSE(MATCH($R$6,{"Ano Completo","1º Semestre","2º Semestre","1º Trimestre","2º Trimestre","3º Trimestre","4º Trimestre"},0),SUM(T170:AE170),SUM(T170:Y170),SUM(Z170:AE170),SUM(T170:V170),SUM(W170:Y170),SUM(Z170:AB170),SUM(AC170:AE170)),0)</f>
        <v/>
      </c>
      <c r="AG170" t="inlineStr">
        <is>
          <t>Transporte</t>
        </is>
      </c>
      <c r="AH170">
        <f>IFERROR(CHOOSE(MATCH($AG$6,{"Ano Completo","1º Semestre","2º Semestre","1º Trimestre","2º Trimestre","3º Trimestre","4º Trimestre"},0),SUM(AI170:AT170),SUM(AI170:AN170),SUM(AO170:AT170),SUM(AI170:AK170),SUM(AL170:AN170),SUM(AO170:AQ170),SUM(AR170:AT170)),0)</f>
        <v/>
      </c>
      <c r="AI170" t="n">
        <v>10443</v>
      </c>
      <c r="AJ170" t="n">
        <v>6080</v>
      </c>
      <c r="AK170" t="n">
        <v>14031</v>
      </c>
      <c r="AL170" t="n">
        <v>13012</v>
      </c>
      <c r="AM170" t="n">
        <v>8936</v>
      </c>
      <c r="AN170" t="n">
        <v>3215</v>
      </c>
      <c r="AO170" t="n">
        <v>16038</v>
      </c>
      <c r="AP170" t="n">
        <v>19145</v>
      </c>
      <c r="AQ170" t="n">
        <v>13927</v>
      </c>
      <c r="AR170" t="n">
        <v>14852</v>
      </c>
      <c r="AS170" t="n">
        <v>8561</v>
      </c>
      <c r="AT170" t="n">
        <v>6653</v>
      </c>
      <c r="AW170" t="inlineStr">
        <is>
          <t>Transporte</t>
        </is>
      </c>
      <c r="AX170">
        <f>IFERROR(CHOOSE(MATCH($AW$6,{"Ano Completo","1º Semestre","2º Semestre","1º Trimestre","2º Trimestre","3º Trimestre","4º Trimestre"},0),SUM(AY170:BJ170),SUM(AY170:BD170),SUM(BE170:BJ170),SUM(AY170:BA170),SUM(BB170:BD170),SUM(BE170:BG170),SUM(BH170:BJ170)),0)</f>
        <v/>
      </c>
      <c r="AY170" t="n">
        <v>15624</v>
      </c>
      <c r="AZ170" t="n">
        <v>8812</v>
      </c>
      <c r="BA170" t="n">
        <v>11782</v>
      </c>
      <c r="BB170" t="n">
        <v>6317</v>
      </c>
      <c r="BC170" t="n">
        <v>2751</v>
      </c>
      <c r="BD170" t="n">
        <v>18749</v>
      </c>
      <c r="BE170" t="n">
        <v>9807</v>
      </c>
      <c r="BF170" t="n">
        <v>5226</v>
      </c>
      <c r="BG170" t="n">
        <v>8786</v>
      </c>
      <c r="BH170" t="n">
        <v>8982</v>
      </c>
      <c r="BI170" t="n">
        <v>6011</v>
      </c>
      <c r="BJ170" t="n">
        <v>12790</v>
      </c>
      <c r="BL170" t="inlineStr">
        <is>
          <t>Transporte</t>
        </is>
      </c>
      <c r="BM170">
        <f>IFERROR(CHOOSE(MATCH($BL$6,{"Ano Completo","1º Semestre","2º Semestre","1º Trimestre","2º Trimestre","3º Trimestre","4º Trimestre"},0),SUM(BN170:BY170),SUM(BN170:BS170),SUM(BT170:BY170),SUM(BN170:BP170),SUM(BQ170:BS170),SUM(BT170:BV170),SUM(BW170:BY170)),0)</f>
        <v/>
      </c>
      <c r="BN170" t="n">
        <v>10443</v>
      </c>
      <c r="BO170" t="n">
        <v>6080</v>
      </c>
      <c r="BP170" t="n">
        <v>14031</v>
      </c>
      <c r="BQ170" t="n">
        <v>13012</v>
      </c>
      <c r="BR170" t="n">
        <v>8936</v>
      </c>
      <c r="BS170" t="n">
        <v>3215</v>
      </c>
      <c r="BT170" t="n">
        <v>16038</v>
      </c>
      <c r="BU170" t="n">
        <v>19145</v>
      </c>
      <c r="BV170" t="n">
        <v>13927</v>
      </c>
      <c r="BW170" t="n">
        <v>14852</v>
      </c>
      <c r="BX170" t="n">
        <v>8561</v>
      </c>
      <c r="BY170" t="n">
        <v>6653</v>
      </c>
      <c r="CB170" t="inlineStr">
        <is>
          <t>Transporte</t>
        </is>
      </c>
      <c r="CC170">
        <f>IFERROR(CHOOSE(MATCH($CB$6,{"Ano Completo","1º Semestre","2º Semestre","1º Trimestre","2º Trimestre","3º Trimestre","4º Trimestre"},0),SUM(CD170:CO170),SUM(CD170:CI170),SUM(CJ170:CO170),SUM(CD170:CF170),SUM(CG170:CI170),SUM(CJ170:CL170),SUM(CM170:CO170)),0)</f>
        <v/>
      </c>
      <c r="CD170" t="n">
        <v>15624</v>
      </c>
      <c r="CE170" t="n">
        <v>8812</v>
      </c>
      <c r="CF170" t="n">
        <v>11782</v>
      </c>
      <c r="CG170" t="n">
        <v>6317</v>
      </c>
      <c r="CH170" t="n">
        <v>2751</v>
      </c>
      <c r="CI170" t="n">
        <v>18749</v>
      </c>
      <c r="CJ170" t="n">
        <v>9807</v>
      </c>
      <c r="CK170" t="n">
        <v>5226</v>
      </c>
      <c r="CL170" t="n">
        <v>8786</v>
      </c>
      <c r="CM170" t="n">
        <v>8982</v>
      </c>
      <c r="CN170" t="n">
        <v>6011</v>
      </c>
      <c r="CO170" t="n">
        <v>12790</v>
      </c>
      <c r="CQ170" t="inlineStr">
        <is>
          <t>Transporte</t>
        </is>
      </c>
      <c r="CR170">
        <f>IFERROR(CHOOSE(MATCH($CQ$6,{"Ano Completo","1º Semestre","2º Semestre","1º Trimestre","2º Trimestre","3º Trimestre","4º Trimestre"},0),SUM(CS170:DD170),SUM(CS170:CX170),SUM(CY170:DD170),SUM(CS170:CU170),SUM(CV170:CX170),SUM(CY170:DA170),SUM(DB170:DD170)),0)</f>
        <v/>
      </c>
      <c r="CS170" t="n">
        <v>10443</v>
      </c>
      <c r="CT170" t="n">
        <v>6080</v>
      </c>
      <c r="CU170" t="n">
        <v>14031</v>
      </c>
      <c r="CV170" t="n">
        <v>13012</v>
      </c>
      <c r="CW170" t="n">
        <v>8936</v>
      </c>
      <c r="CX170" t="n">
        <v>3215</v>
      </c>
      <c r="CY170" t="n">
        <v>16038</v>
      </c>
      <c r="CZ170" t="n">
        <v>19145</v>
      </c>
      <c r="DA170" t="n">
        <v>13927</v>
      </c>
      <c r="DB170" t="n">
        <v>14852</v>
      </c>
      <c r="DC170" t="n">
        <v>8561</v>
      </c>
      <c r="DD170" t="n">
        <v>6653</v>
      </c>
      <c r="DG170" t="inlineStr">
        <is>
          <t>Transporte</t>
        </is>
      </c>
      <c r="DH170">
        <f>IFERROR(CHOOSE(MATCH($DG$6,{"Ano Completo","1º Semestre","2º Semestre","1º Trimestre","2º Trimestre","3º Trimestre","4º Trimestre"},0),SUM(DI170:DT170),SUM(DI170:DN170),SUM(DO170:DT170),SUM(DI170:DK170),SUM(DL170:DN170),SUM(DO170:DQ170),SUM(DR170:DT170)),0)</f>
        <v/>
      </c>
      <c r="DI170" t="n">
        <v>15624</v>
      </c>
      <c r="DJ170" t="n">
        <v>8812</v>
      </c>
      <c r="DK170" t="n">
        <v>11782</v>
      </c>
      <c r="DL170" t="n">
        <v>6317</v>
      </c>
      <c r="DM170" t="n">
        <v>2751</v>
      </c>
      <c r="DN170" t="n">
        <v>18749</v>
      </c>
      <c r="DO170" t="n">
        <v>9807</v>
      </c>
      <c r="DP170" t="n">
        <v>5226</v>
      </c>
      <c r="DQ170" t="n">
        <v>8786</v>
      </c>
      <c r="DR170" t="n">
        <v>8982</v>
      </c>
      <c r="DS170" t="n">
        <v>6011</v>
      </c>
      <c r="DT170" t="n">
        <v>12790</v>
      </c>
      <c r="DV170" t="inlineStr">
        <is>
          <t>Transporte</t>
        </is>
      </c>
      <c r="DW170">
        <f>IFERROR(CHOOSE(MATCH($DV$6,{"Ano Completo","1º Semestre","2º Semestre","1º Trimestre","2º Trimestre","3º Trimestre","4º Trimestre"},0),SUM(DX170:EI170),SUM(DX170:EC170),SUM(ED170:EI170),SUM(DX170:DZ170),SUM(EA170:EC170),SUM(ED170:EF170),SUM(EG170:EI170)),0)</f>
        <v/>
      </c>
      <c r="DX170" t="n">
        <v>10443</v>
      </c>
      <c r="DY170" t="n">
        <v>6080</v>
      </c>
      <c r="DZ170" t="n">
        <v>14031</v>
      </c>
      <c r="EA170" t="n">
        <v>13012</v>
      </c>
      <c r="EB170" t="n">
        <v>8936</v>
      </c>
      <c r="EC170" t="n">
        <v>3215</v>
      </c>
      <c r="ED170" t="n">
        <v>16038</v>
      </c>
      <c r="EE170" t="n">
        <v>19145</v>
      </c>
      <c r="EF170" t="n">
        <v>13927</v>
      </c>
      <c r="EG170" t="n">
        <v>14852</v>
      </c>
      <c r="EH170" t="n">
        <v>8561</v>
      </c>
      <c r="EI170" t="n">
        <v>6653</v>
      </c>
      <c r="EL170" t="inlineStr">
        <is>
          <t>Transporte</t>
        </is>
      </c>
      <c r="EM170">
        <f>IFERROR(CHOOSE(MATCH($EL$6,{"Ano Completo","1º Semestre","2º Semestre","1º Trimestre","2º Trimestre","3º Trimestre","4º Trimestre"},0),SUM(EN170:EY170),SUM(EN170:ES170),SUM(ET170:EY170),SUM(EN170:EP170),SUM(EQ170:ES170),SUM(ET170:EV170),SUM(EW170:EY170)),0)</f>
        <v/>
      </c>
      <c r="EN170" t="n">
        <v>15624</v>
      </c>
      <c r="EO170" t="n">
        <v>8812</v>
      </c>
      <c r="EP170" t="n">
        <v>11782</v>
      </c>
      <c r="EQ170" t="n">
        <v>6317</v>
      </c>
      <c r="ER170" t="n">
        <v>2751</v>
      </c>
      <c r="ES170" t="n">
        <v>18749</v>
      </c>
      <c r="ET170" t="n">
        <v>9807</v>
      </c>
      <c r="EU170" t="n">
        <v>5226</v>
      </c>
      <c r="EV170" t="n">
        <v>8786</v>
      </c>
      <c r="EW170" t="n">
        <v>8982</v>
      </c>
      <c r="EX170" t="n">
        <v>6011</v>
      </c>
      <c r="EY170" t="n">
        <v>12790</v>
      </c>
    </row>
    <row r="171">
      <c r="B171" t="inlineStr">
        <is>
          <t>Viagens e Estadias</t>
        </is>
      </c>
      <c r="C171">
        <f>IFERROR(CHOOSE(MATCH($B$6,{"Ano Completo","1º Semestre","2º Semestre","1º Trimestre","2º Trimestre","3º Trimestre","4º Trimestre"},0),SUM(D171:O171),SUM(D171:I171),SUM(J171:O171),SUM(D171:F171),SUM(G171:I171),SUM(J171:L171),SUM(M171:O171)),0)</f>
        <v/>
      </c>
      <c r="R171" t="inlineStr">
        <is>
          <t>Viagens e Estadias</t>
        </is>
      </c>
      <c r="S171">
        <f>IFERROR(CHOOSE(MATCH($R$6,{"Ano Completo","1º Semestre","2º Semestre","1º Trimestre","2º Trimestre","3º Trimestre","4º Trimestre"},0),SUM(T171:AE171),SUM(T171:Y171),SUM(Z171:AE171),SUM(T171:V171),SUM(W171:Y171),SUM(Z171:AB171),SUM(AC171:AE171)),0)</f>
        <v/>
      </c>
      <c r="AG171" t="inlineStr">
        <is>
          <t>Viagens e Estadias</t>
        </is>
      </c>
      <c r="AH171">
        <f>IFERROR(CHOOSE(MATCH($AG$6,{"Ano Completo","1º Semestre","2º Semestre","1º Trimestre","2º Trimestre","3º Trimestre","4º Trimestre"},0),SUM(AI171:AT171),SUM(AI171:AN171),SUM(AO171:AT171),SUM(AI171:AK171),SUM(AL171:AN171),SUM(AO171:AQ171),SUM(AR171:AT171)),0)</f>
        <v/>
      </c>
      <c r="AI171" t="n">
        <v>2009</v>
      </c>
      <c r="AJ171" t="n">
        <v>16365</v>
      </c>
      <c r="AK171" t="n">
        <v>9466</v>
      </c>
      <c r="AL171" t="n">
        <v>6587</v>
      </c>
      <c r="AM171" t="n">
        <v>1369</v>
      </c>
      <c r="AN171" t="n">
        <v>14412</v>
      </c>
      <c r="AO171" t="n">
        <v>9115</v>
      </c>
      <c r="AP171" t="n">
        <v>9166</v>
      </c>
      <c r="AQ171" t="n">
        <v>9894</v>
      </c>
      <c r="AR171" t="n">
        <v>14417</v>
      </c>
      <c r="AS171" t="n">
        <v>10907</v>
      </c>
      <c r="AT171" t="n">
        <v>19831</v>
      </c>
      <c r="AW171" t="inlineStr">
        <is>
          <t>Viagens e Estadias</t>
        </is>
      </c>
      <c r="AX171">
        <f>IFERROR(CHOOSE(MATCH($AW$6,{"Ano Completo","1º Semestre","2º Semestre","1º Trimestre","2º Trimestre","3º Trimestre","4º Trimestre"},0),SUM(AY171:BJ171),SUM(AY171:BD171),SUM(BE171:BJ171),SUM(AY171:BA171),SUM(BB171:BD171),SUM(BE171:BG171),SUM(BH171:BJ171)),0)</f>
        <v/>
      </c>
      <c r="AY171" t="n">
        <v>12050</v>
      </c>
      <c r="AZ171" t="n">
        <v>7124</v>
      </c>
      <c r="BA171" t="n">
        <v>6577</v>
      </c>
      <c r="BB171" t="n">
        <v>1311</v>
      </c>
      <c r="BC171" t="n">
        <v>12209</v>
      </c>
      <c r="BD171" t="n">
        <v>6813</v>
      </c>
      <c r="BE171" t="n">
        <v>5278</v>
      </c>
      <c r="BF171" t="n">
        <v>13083</v>
      </c>
      <c r="BG171" t="n">
        <v>4704</v>
      </c>
      <c r="BH171" t="n">
        <v>16125</v>
      </c>
      <c r="BI171" t="n">
        <v>6012</v>
      </c>
      <c r="BJ171" t="n">
        <v>16156</v>
      </c>
      <c r="BL171" t="inlineStr">
        <is>
          <t>Viagens e Estadias</t>
        </is>
      </c>
      <c r="BM171">
        <f>IFERROR(CHOOSE(MATCH($BL$6,{"Ano Completo","1º Semestre","2º Semestre","1º Trimestre","2º Trimestre","3º Trimestre","4º Trimestre"},0),SUM(BN171:BY171),SUM(BN171:BS171),SUM(BT171:BY171),SUM(BN171:BP171),SUM(BQ171:BS171),SUM(BT171:BV171),SUM(BW171:BY171)),0)</f>
        <v/>
      </c>
      <c r="BN171" t="n">
        <v>2009</v>
      </c>
      <c r="BO171" t="n">
        <v>16365</v>
      </c>
      <c r="BP171" t="n">
        <v>9466</v>
      </c>
      <c r="BQ171" t="n">
        <v>6587</v>
      </c>
      <c r="BR171" t="n">
        <v>1369</v>
      </c>
      <c r="BS171" t="n">
        <v>14412</v>
      </c>
      <c r="BT171" t="n">
        <v>9115</v>
      </c>
      <c r="BU171" t="n">
        <v>9166</v>
      </c>
      <c r="BV171" t="n">
        <v>9894</v>
      </c>
      <c r="BW171" t="n">
        <v>14417</v>
      </c>
      <c r="BX171" t="n">
        <v>10907</v>
      </c>
      <c r="BY171" t="n">
        <v>19831</v>
      </c>
      <c r="CB171" t="inlineStr">
        <is>
          <t>Viagens e Estadias</t>
        </is>
      </c>
      <c r="CC171">
        <f>IFERROR(CHOOSE(MATCH($CB$6,{"Ano Completo","1º Semestre","2º Semestre","1º Trimestre","2º Trimestre","3º Trimestre","4º Trimestre"},0),SUM(CD171:CO171),SUM(CD171:CI171),SUM(CJ171:CO171),SUM(CD171:CF171),SUM(CG171:CI171),SUM(CJ171:CL171),SUM(CM171:CO171)),0)</f>
        <v/>
      </c>
      <c r="CD171" t="n">
        <v>12050</v>
      </c>
      <c r="CE171" t="n">
        <v>7124</v>
      </c>
      <c r="CF171" t="n">
        <v>6577</v>
      </c>
      <c r="CG171" t="n">
        <v>1311</v>
      </c>
      <c r="CH171" t="n">
        <v>12209</v>
      </c>
      <c r="CI171" t="n">
        <v>6813</v>
      </c>
      <c r="CJ171" t="n">
        <v>5278</v>
      </c>
      <c r="CK171" t="n">
        <v>13083</v>
      </c>
      <c r="CL171" t="n">
        <v>4704</v>
      </c>
      <c r="CM171" t="n">
        <v>16125</v>
      </c>
      <c r="CN171" t="n">
        <v>6012</v>
      </c>
      <c r="CO171" t="n">
        <v>16156</v>
      </c>
      <c r="CQ171" t="inlineStr">
        <is>
          <t>Viagens e Estadias</t>
        </is>
      </c>
      <c r="CR171">
        <f>IFERROR(CHOOSE(MATCH($CQ$6,{"Ano Completo","1º Semestre","2º Semestre","1º Trimestre","2º Trimestre","3º Trimestre","4º Trimestre"},0),SUM(CS171:DD171),SUM(CS171:CX171),SUM(CY171:DD171),SUM(CS171:CU171),SUM(CV171:CX171),SUM(CY171:DA171),SUM(DB171:DD171)),0)</f>
        <v/>
      </c>
      <c r="CS171" t="n">
        <v>2009</v>
      </c>
      <c r="CT171" t="n">
        <v>16365</v>
      </c>
      <c r="CU171" t="n">
        <v>9466</v>
      </c>
      <c r="CV171" t="n">
        <v>6587</v>
      </c>
      <c r="CW171" t="n">
        <v>1369</v>
      </c>
      <c r="CX171" t="n">
        <v>14412</v>
      </c>
      <c r="CY171" t="n">
        <v>9115</v>
      </c>
      <c r="CZ171" t="n">
        <v>9166</v>
      </c>
      <c r="DA171" t="n">
        <v>9894</v>
      </c>
      <c r="DB171" t="n">
        <v>14417</v>
      </c>
      <c r="DC171" t="n">
        <v>10907</v>
      </c>
      <c r="DD171" t="n">
        <v>19831</v>
      </c>
      <c r="DG171" t="inlineStr">
        <is>
          <t>Viagens e Estadias</t>
        </is>
      </c>
      <c r="DH171">
        <f>IFERROR(CHOOSE(MATCH($DG$6,{"Ano Completo","1º Semestre","2º Semestre","1º Trimestre","2º Trimestre","3º Trimestre","4º Trimestre"},0),SUM(DI171:DT171),SUM(DI171:DN171),SUM(DO171:DT171),SUM(DI171:DK171),SUM(DL171:DN171),SUM(DO171:DQ171),SUM(DR171:DT171)),0)</f>
        <v/>
      </c>
      <c r="DI171" t="n">
        <v>12050</v>
      </c>
      <c r="DJ171" t="n">
        <v>7124</v>
      </c>
      <c r="DK171" t="n">
        <v>6577</v>
      </c>
      <c r="DL171" t="n">
        <v>1311</v>
      </c>
      <c r="DM171" t="n">
        <v>12209</v>
      </c>
      <c r="DN171" t="n">
        <v>6813</v>
      </c>
      <c r="DO171" t="n">
        <v>5278</v>
      </c>
      <c r="DP171" t="n">
        <v>13083</v>
      </c>
      <c r="DQ171" t="n">
        <v>4704</v>
      </c>
      <c r="DR171" t="n">
        <v>16125</v>
      </c>
      <c r="DS171" t="n">
        <v>6012</v>
      </c>
      <c r="DT171" t="n">
        <v>16156</v>
      </c>
      <c r="DV171" t="inlineStr">
        <is>
          <t>Viagens e Estadias</t>
        </is>
      </c>
      <c r="DW171">
        <f>IFERROR(CHOOSE(MATCH($DV$6,{"Ano Completo","1º Semestre","2º Semestre","1º Trimestre","2º Trimestre","3º Trimestre","4º Trimestre"},0),SUM(DX171:EI171),SUM(DX171:EC171),SUM(ED171:EI171),SUM(DX171:DZ171),SUM(EA171:EC171),SUM(ED171:EF171),SUM(EG171:EI171)),0)</f>
        <v/>
      </c>
      <c r="DX171" t="n">
        <v>2009</v>
      </c>
      <c r="DY171" t="n">
        <v>16365</v>
      </c>
      <c r="DZ171" t="n">
        <v>9466</v>
      </c>
      <c r="EA171" t="n">
        <v>6587</v>
      </c>
      <c r="EB171" t="n">
        <v>1369</v>
      </c>
      <c r="EC171" t="n">
        <v>14412</v>
      </c>
      <c r="ED171" t="n">
        <v>9115</v>
      </c>
      <c r="EE171" t="n">
        <v>9166</v>
      </c>
      <c r="EF171" t="n">
        <v>9894</v>
      </c>
      <c r="EG171" t="n">
        <v>14417</v>
      </c>
      <c r="EH171" t="n">
        <v>10907</v>
      </c>
      <c r="EI171" t="n">
        <v>19831</v>
      </c>
      <c r="EL171" t="inlineStr">
        <is>
          <t>Viagens e Estadias</t>
        </is>
      </c>
      <c r="EM171">
        <f>IFERROR(CHOOSE(MATCH($EL$6,{"Ano Completo","1º Semestre","2º Semestre","1º Trimestre","2º Trimestre","3º Trimestre","4º Trimestre"},0),SUM(EN171:EY171),SUM(EN171:ES171),SUM(ET171:EY171),SUM(EN171:EP171),SUM(EQ171:ES171),SUM(ET171:EV171),SUM(EW171:EY171)),0)</f>
        <v/>
      </c>
      <c r="EN171" t="n">
        <v>12050</v>
      </c>
      <c r="EO171" t="n">
        <v>7124</v>
      </c>
      <c r="EP171" t="n">
        <v>6577</v>
      </c>
      <c r="EQ171" t="n">
        <v>1311</v>
      </c>
      <c r="ER171" t="n">
        <v>12209</v>
      </c>
      <c r="ES171" t="n">
        <v>6813</v>
      </c>
      <c r="ET171" t="n">
        <v>5278</v>
      </c>
      <c r="EU171" t="n">
        <v>13083</v>
      </c>
      <c r="EV171" t="n">
        <v>4704</v>
      </c>
      <c r="EW171" t="n">
        <v>16125</v>
      </c>
      <c r="EX171" t="n">
        <v>6012</v>
      </c>
      <c r="EY171" t="n">
        <v>16156</v>
      </c>
    </row>
    <row r="172">
      <c r="B172" t="inlineStr">
        <is>
          <t>Outras Despesas</t>
        </is>
      </c>
      <c r="C172">
        <f>IFERROR(CHOOSE(MATCH($B$6,{"Ano Completo","1º Semestre","2º Semestre","1º Trimestre","2º Trimestre","3º Trimestre","4º Trimestre"},0),SUM(D172:O172),SUM(D172:I172),SUM(J172:O172),SUM(D172:F172),SUM(G172:I172),SUM(J172:L172),SUM(M172:O172)),0)</f>
        <v/>
      </c>
      <c r="R172" t="inlineStr">
        <is>
          <t>Outras Despesas</t>
        </is>
      </c>
      <c r="S172">
        <f>IFERROR(CHOOSE(MATCH($R$6,{"Ano Completo","1º Semestre","2º Semestre","1º Trimestre","2º Trimestre","3º Trimestre","4º Trimestre"},0),SUM(T172:AE172),SUM(T172:Y172),SUM(Z172:AE172),SUM(T172:V172),SUM(W172:Y172),SUM(Z172:AB172),SUM(AC172:AE172)),0)</f>
        <v/>
      </c>
      <c r="AG172" t="inlineStr">
        <is>
          <t>Outras Despesas</t>
        </is>
      </c>
      <c r="AH172">
        <f>IFERROR(CHOOSE(MATCH($AG$6,{"Ano Completo","1º Semestre","2º Semestre","1º Trimestre","2º Trimestre","3º Trimestre","4º Trimestre"},0),SUM(AI172:AT172),SUM(AI172:AN172),SUM(AO172:AT172),SUM(AI172:AK172),SUM(AL172:AN172),SUM(AO172:AQ172),SUM(AR172:AT172)),0)</f>
        <v/>
      </c>
      <c r="AI172" t="n">
        <v>19568</v>
      </c>
      <c r="AJ172" t="n">
        <v>13998</v>
      </c>
      <c r="AK172" t="n">
        <v>29958</v>
      </c>
      <c r="AL172" t="n">
        <v>22215</v>
      </c>
      <c r="AM172" t="n">
        <v>17818</v>
      </c>
      <c r="AN172" t="n">
        <v>27332</v>
      </c>
      <c r="AO172" t="n">
        <v>21101</v>
      </c>
      <c r="AP172" t="n">
        <v>32363</v>
      </c>
      <c r="AQ172" t="n">
        <v>21274</v>
      </c>
      <c r="AR172" t="n">
        <v>26517</v>
      </c>
      <c r="AS172" t="n">
        <v>17257</v>
      </c>
      <c r="AT172" t="n">
        <v>13348</v>
      </c>
      <c r="AW172" t="inlineStr">
        <is>
          <t>Outras Despesas</t>
        </is>
      </c>
      <c r="AX172">
        <f>IFERROR(CHOOSE(MATCH($AW$6,{"Ano Completo","1º Semestre","2º Semestre","1º Trimestre","2º Trimestre","3º Trimestre","4º Trimestre"},0),SUM(AY172:BJ172),SUM(AY172:BD172),SUM(BE172:BJ172),SUM(AY172:BA172),SUM(BB172:BD172),SUM(BE172:BG172),SUM(BH172:BJ172)),0)</f>
        <v/>
      </c>
      <c r="AY172" t="n">
        <v>31013</v>
      </c>
      <c r="AZ172" t="n">
        <v>24836</v>
      </c>
      <c r="BA172" t="n">
        <v>28674</v>
      </c>
      <c r="BB172" t="n">
        <v>21173</v>
      </c>
      <c r="BC172" t="n">
        <v>18032</v>
      </c>
      <c r="BD172" t="n">
        <v>7816</v>
      </c>
      <c r="BE172" t="n">
        <v>17247</v>
      </c>
      <c r="BF172" t="n">
        <v>13682</v>
      </c>
      <c r="BG172" t="n">
        <v>20812</v>
      </c>
      <c r="BH172" t="n">
        <v>31645</v>
      </c>
      <c r="BI172" t="n">
        <v>22719</v>
      </c>
      <c r="BJ172" t="n">
        <v>37949</v>
      </c>
      <c r="BL172" t="inlineStr">
        <is>
          <t>Outras Despesas</t>
        </is>
      </c>
      <c r="BM172">
        <f>IFERROR(CHOOSE(MATCH($BL$6,{"Ano Completo","1º Semestre","2º Semestre","1º Trimestre","2º Trimestre","3º Trimestre","4º Trimestre"},0),SUM(BN172:BY172),SUM(BN172:BS172),SUM(BT172:BY172),SUM(BN172:BP172),SUM(BQ172:BS172),SUM(BT172:BV172),SUM(BW172:BY172)),0)</f>
        <v/>
      </c>
      <c r="BN172" t="n">
        <v>19568</v>
      </c>
      <c r="BO172" t="n">
        <v>13998</v>
      </c>
      <c r="BP172" t="n">
        <v>29958</v>
      </c>
      <c r="BQ172" t="n">
        <v>22215</v>
      </c>
      <c r="BR172" t="n">
        <v>17818</v>
      </c>
      <c r="BS172" t="n">
        <v>27332</v>
      </c>
      <c r="BT172" t="n">
        <v>21101</v>
      </c>
      <c r="BU172" t="n">
        <v>32363</v>
      </c>
      <c r="BV172" t="n">
        <v>21274</v>
      </c>
      <c r="BW172" t="n">
        <v>26517</v>
      </c>
      <c r="BX172" t="n">
        <v>17257</v>
      </c>
      <c r="BY172" t="n">
        <v>13348</v>
      </c>
      <c r="CB172" t="inlineStr">
        <is>
          <t>Outras Despesas</t>
        </is>
      </c>
      <c r="CC172">
        <f>IFERROR(CHOOSE(MATCH($CB$6,{"Ano Completo","1º Semestre","2º Semestre","1º Trimestre","2º Trimestre","3º Trimestre","4º Trimestre"},0),SUM(CD172:CO172),SUM(CD172:CI172),SUM(CJ172:CO172),SUM(CD172:CF172),SUM(CG172:CI172),SUM(CJ172:CL172),SUM(CM172:CO172)),0)</f>
        <v/>
      </c>
      <c r="CD172" t="n">
        <v>31013</v>
      </c>
      <c r="CE172" t="n">
        <v>24836</v>
      </c>
      <c r="CF172" t="n">
        <v>28674</v>
      </c>
      <c r="CG172" t="n">
        <v>21173</v>
      </c>
      <c r="CH172" t="n">
        <v>18032</v>
      </c>
      <c r="CI172" t="n">
        <v>7816</v>
      </c>
      <c r="CJ172" t="n">
        <v>17247</v>
      </c>
      <c r="CK172" t="n">
        <v>13682</v>
      </c>
      <c r="CL172" t="n">
        <v>20812</v>
      </c>
      <c r="CM172" t="n">
        <v>31645</v>
      </c>
      <c r="CN172" t="n">
        <v>22719</v>
      </c>
      <c r="CO172" t="n">
        <v>37949</v>
      </c>
      <c r="CQ172" t="inlineStr">
        <is>
          <t>Outras Despesas</t>
        </is>
      </c>
      <c r="CR172">
        <f>IFERROR(CHOOSE(MATCH($CQ$6,{"Ano Completo","1º Semestre","2º Semestre","1º Trimestre","2º Trimestre","3º Trimestre","4º Trimestre"},0),SUM(CS172:DD172),SUM(CS172:CX172),SUM(CY172:DD172),SUM(CS172:CU172),SUM(CV172:CX172),SUM(CY172:DA172),SUM(DB172:DD172)),0)</f>
        <v/>
      </c>
      <c r="CS172" t="n">
        <v>19568</v>
      </c>
      <c r="CT172" t="n">
        <v>13998</v>
      </c>
      <c r="CU172" t="n">
        <v>29958</v>
      </c>
      <c r="CV172" t="n">
        <v>22215</v>
      </c>
      <c r="CW172" t="n">
        <v>17818</v>
      </c>
      <c r="CX172" t="n">
        <v>27332</v>
      </c>
      <c r="CY172" t="n">
        <v>21101</v>
      </c>
      <c r="CZ172" t="n">
        <v>32363</v>
      </c>
      <c r="DA172" t="n">
        <v>21274</v>
      </c>
      <c r="DB172" t="n">
        <v>26517</v>
      </c>
      <c r="DC172" t="n">
        <v>17257</v>
      </c>
      <c r="DD172" t="n">
        <v>13348</v>
      </c>
      <c r="DG172" t="inlineStr">
        <is>
          <t>Outras Despesas</t>
        </is>
      </c>
      <c r="DH172">
        <f>IFERROR(CHOOSE(MATCH($DG$6,{"Ano Completo","1º Semestre","2º Semestre","1º Trimestre","2º Trimestre","3º Trimestre","4º Trimestre"},0),SUM(DI172:DT172),SUM(DI172:DN172),SUM(DO172:DT172),SUM(DI172:DK172),SUM(DL172:DN172),SUM(DO172:DQ172),SUM(DR172:DT172)),0)</f>
        <v/>
      </c>
      <c r="DI172" t="n">
        <v>31013</v>
      </c>
      <c r="DJ172" t="n">
        <v>24836</v>
      </c>
      <c r="DK172" t="n">
        <v>28674</v>
      </c>
      <c r="DL172" t="n">
        <v>21173</v>
      </c>
      <c r="DM172" t="n">
        <v>18032</v>
      </c>
      <c r="DN172" t="n">
        <v>7816</v>
      </c>
      <c r="DO172" t="n">
        <v>17247</v>
      </c>
      <c r="DP172" t="n">
        <v>13682</v>
      </c>
      <c r="DQ172" t="n">
        <v>20812</v>
      </c>
      <c r="DR172" t="n">
        <v>31645</v>
      </c>
      <c r="DS172" t="n">
        <v>22719</v>
      </c>
      <c r="DT172" t="n">
        <v>37949</v>
      </c>
      <c r="DV172" t="inlineStr">
        <is>
          <t>Outras Despesas</t>
        </is>
      </c>
      <c r="DW172">
        <f>IFERROR(CHOOSE(MATCH($DV$6,{"Ano Completo","1º Semestre","2º Semestre","1º Trimestre","2º Trimestre","3º Trimestre","4º Trimestre"},0),SUM(DX172:EI172),SUM(DX172:EC172),SUM(ED172:EI172),SUM(DX172:DZ172),SUM(EA172:EC172),SUM(ED172:EF172),SUM(EG172:EI172)),0)</f>
        <v/>
      </c>
      <c r="DX172" t="n">
        <v>19568</v>
      </c>
      <c r="DY172" t="n">
        <v>13998</v>
      </c>
      <c r="DZ172" t="n">
        <v>29958</v>
      </c>
      <c r="EA172" t="n">
        <v>22215</v>
      </c>
      <c r="EB172" t="n">
        <v>17818</v>
      </c>
      <c r="EC172" t="n">
        <v>27332</v>
      </c>
      <c r="ED172" t="n">
        <v>21101</v>
      </c>
      <c r="EE172" t="n">
        <v>32363</v>
      </c>
      <c r="EF172" t="n">
        <v>21274</v>
      </c>
      <c r="EG172" t="n">
        <v>26517</v>
      </c>
      <c r="EH172" t="n">
        <v>17257</v>
      </c>
      <c r="EI172" t="n">
        <v>13348</v>
      </c>
      <c r="EL172" t="inlineStr">
        <is>
          <t>Outras Despesas</t>
        </is>
      </c>
      <c r="EM172">
        <f>IFERROR(CHOOSE(MATCH($EL$6,{"Ano Completo","1º Semestre","2º Semestre","1º Trimestre","2º Trimestre","3º Trimestre","4º Trimestre"},0),SUM(EN172:EY172),SUM(EN172:ES172),SUM(ET172:EY172),SUM(EN172:EP172),SUM(EQ172:ES172),SUM(ET172:EV172),SUM(EW172:EY172)),0)</f>
        <v/>
      </c>
      <c r="EN172" t="n">
        <v>31013</v>
      </c>
      <c r="EO172" t="n">
        <v>24836</v>
      </c>
      <c r="EP172" t="n">
        <v>28674</v>
      </c>
      <c r="EQ172" t="n">
        <v>21173</v>
      </c>
      <c r="ER172" t="n">
        <v>18032</v>
      </c>
      <c r="ES172" t="n">
        <v>7816</v>
      </c>
      <c r="ET172" t="n">
        <v>17247</v>
      </c>
      <c r="EU172" t="n">
        <v>13682</v>
      </c>
      <c r="EV172" t="n">
        <v>20812</v>
      </c>
      <c r="EW172" t="n">
        <v>31645</v>
      </c>
      <c r="EX172" t="n">
        <v>22719</v>
      </c>
      <c r="EY172" t="n">
        <v>37949</v>
      </c>
    </row>
    <row r="175">
      <c r="B175" t="inlineStr">
        <is>
          <t>Despesas Financeiras</t>
        </is>
      </c>
      <c r="C175">
        <f>IFERROR(CHOOSE(MATCH($B$6,{"Ano Completo","1º Semestre","2º Semestre","1º Trimestre","2º Trimestre","3º Trimestre","4º Trimestre"},0),SUM(D175:O175),SUM(D175:I175),SUM(J175:O175),SUM(D175:F175),SUM(G175:I175),SUM(J175:L175),SUM(M175:O175)),0)</f>
        <v/>
      </c>
      <c r="R175" t="inlineStr">
        <is>
          <t>Despesas Financeiras</t>
        </is>
      </c>
      <c r="S175">
        <f>IFERROR(CHOOSE(MATCH($R$6,{"Ano Completo","1º Semestre","2º Semestre","1º Trimestre","2º Trimestre","3º Trimestre","4º Trimestre"},0),SUM(T175:AE175),SUM(T175:Y175),SUM(Z175:AE175),SUM(T175:V175),SUM(W175:Y175),SUM(Z175:AB175),SUM(AC175:AE175)),0)</f>
        <v/>
      </c>
      <c r="AG175" t="inlineStr">
        <is>
          <t>Despesas Financeiras</t>
        </is>
      </c>
      <c r="AH175">
        <f>IFERROR(CHOOSE(MATCH($AG$6,{"Ano Completo","1º Semestre","2º Semestre","1º Trimestre","2º Trimestre","3º Trimestre","4º Trimestre"},0),SUM(AI175:AT175),SUM(AI175:AN175),SUM(AO175:AT175),SUM(AI175:AK175),SUM(AL175:AN175),SUM(AO175:AQ175),SUM(AR175:AT175)),0)</f>
        <v/>
      </c>
      <c r="AW175" t="inlineStr">
        <is>
          <t>Despesas Financeiras</t>
        </is>
      </c>
      <c r="AX175">
        <f>IFERROR(CHOOSE(MATCH($AW$6,{"Ano Completo","1º Semestre","2º Semestre","1º Trimestre","2º Trimestre","3º Trimestre","4º Trimestre"},0),SUM(AY175:BJ175),SUM(AY175:BD175),SUM(BE175:BJ175),SUM(AY175:BA175),SUM(BB175:BD175),SUM(BE175:BG175),SUM(BH175:BJ175)),0)</f>
        <v/>
      </c>
      <c r="BL175" t="inlineStr">
        <is>
          <t>Despesas Financeiras</t>
        </is>
      </c>
      <c r="BM175">
        <f>IFERROR(CHOOSE(MATCH($BL$6,{"Ano Completo","1º Semestre","2º Semestre","1º Trimestre","2º Trimestre","3º Trimestre","4º Trimestre"},0),SUM(BN175:BY175),SUM(BN175:BS175),SUM(BT175:BY175),SUM(BN175:BP175),SUM(BQ175:BS175),SUM(BT175:BV175),SUM(BW175:BY175)),0)</f>
        <v/>
      </c>
      <c r="CB175" t="inlineStr">
        <is>
          <t>Despesas Financeiras</t>
        </is>
      </c>
      <c r="CC175">
        <f>IFERROR(CHOOSE(MATCH($CB$6,{"Ano Completo","1º Semestre","2º Semestre","1º Trimestre","2º Trimestre","3º Trimestre","4º Trimestre"},0),SUM(CD175:CO175),SUM(CD175:CI175),SUM(CJ175:CO175),SUM(CD175:CF175),SUM(CG175:CI175),SUM(CJ175:CL175),SUM(CM175:CO175)),0)</f>
        <v/>
      </c>
      <c r="CQ175" t="inlineStr">
        <is>
          <t>Despesas Financeiras</t>
        </is>
      </c>
      <c r="CR175">
        <f>IFERROR(CHOOSE(MATCH($CQ$6,{"Ano Completo","1º Semestre","2º Semestre","1º Trimestre","2º Trimestre","3º Trimestre","4º Trimestre"},0),SUM(CS175:DD175),SUM(CS175:CX175),SUM(CY175:DD175),SUM(CS175:CU175),SUM(CV175:CX175),SUM(CY175:DA175),SUM(DB175:DD175)),0)</f>
        <v/>
      </c>
      <c r="DG175" t="inlineStr">
        <is>
          <t>Despesas Financeiras</t>
        </is>
      </c>
      <c r="DH175">
        <f>IFERROR(CHOOSE(MATCH($DG$6,{"Ano Completo","1º Semestre","2º Semestre","1º Trimestre","2º Trimestre","3º Trimestre","4º Trimestre"},0),SUM(DI175:DT175),SUM(DI175:DN175),SUM(DO175:DT175),SUM(DI175:DK175),SUM(DL175:DN175),SUM(DO175:DQ175),SUM(DR175:DT175)),0)</f>
        <v/>
      </c>
      <c r="DV175" t="inlineStr">
        <is>
          <t>Despesas Financeiras</t>
        </is>
      </c>
      <c r="DW175">
        <f>IFERROR(CHOOSE(MATCH($DV$6,{"Ano Completo","1º Semestre","2º Semestre","1º Trimestre","2º Trimestre","3º Trimestre","4º Trimestre"},0),SUM(DX175:EI175),SUM(DX175:EC175),SUM(ED175:EI175),SUM(DX175:DZ175),SUM(EA175:EC175),SUM(ED175:EF175),SUM(EG175:EI175)),0)</f>
        <v/>
      </c>
      <c r="EL175" t="inlineStr">
        <is>
          <t>Despesas Financeiras</t>
        </is>
      </c>
      <c r="EM175">
        <f>IFERROR(CHOOSE(MATCH($EL$6,{"Ano Completo","1º Semestre","2º Semestre","1º Trimestre","2º Trimestre","3º Trimestre","4º Trimestre"},0),SUM(EN175:EY175),SUM(EN175:ES175),SUM(ET175:EY175),SUM(EN175:EP175),SUM(EQ175:ES175),SUM(ET175:EV175),SUM(EW175:EY175)),0)</f>
        <v/>
      </c>
    </row>
    <row r="177">
      <c r="B177" t="inlineStr">
        <is>
          <t>Investimentos</t>
        </is>
      </c>
      <c r="C177">
        <f>IFERROR(CHOOSE(MATCH($B$6,{"Ano Completo","1º Semestre","2º Semestre","1º Trimestre","2º Trimestre","3º Trimestre","4º Trimestre"},0),SUM(D177:O177),SUM(D177:I177),SUM(J177:O177),SUM(D177:F177),SUM(G177:I177),SUM(J177:L177),SUM(M177:O177)),0)</f>
        <v/>
      </c>
      <c r="R177" t="inlineStr">
        <is>
          <t>Investimentos</t>
        </is>
      </c>
      <c r="S177">
        <f>IFERROR(CHOOSE(MATCH($R$6,{"Ano Completo","1º Semestre","2º Semestre","1º Trimestre","2º Trimestre","3º Trimestre","4º Trimestre"},0),SUM(T177:AE177),SUM(T177:Y177),SUM(Z177:AE177),SUM(T177:V177),SUM(W177:Y177),SUM(Z177:AB177),SUM(AC177:AE177)),0)</f>
        <v/>
      </c>
      <c r="AG177" t="inlineStr">
        <is>
          <t>Investimentos</t>
        </is>
      </c>
      <c r="AH177">
        <f>IFERROR(CHOOSE(MATCH($AG$6,{"Ano Completo","1º Semestre","2º Semestre","1º Trimestre","2º Trimestre","3º Trimestre","4º Trimestre"},0),SUM(AI177:AT177),SUM(AI177:AN177),SUM(AO177:AT177),SUM(AI177:AK177),SUM(AL177:AN177),SUM(AO177:AQ177),SUM(AR177:AT177)),0)</f>
        <v/>
      </c>
      <c r="AI177" t="n">
        <v>17856</v>
      </c>
      <c r="AJ177" t="n">
        <v>6525</v>
      </c>
      <c r="AK177" t="n">
        <v>13507</v>
      </c>
      <c r="AL177" t="n">
        <v>19320</v>
      </c>
      <c r="AM177" t="n">
        <v>14336</v>
      </c>
      <c r="AN177" t="n">
        <v>5511</v>
      </c>
      <c r="AO177" t="n">
        <v>10235</v>
      </c>
      <c r="AP177" t="n">
        <v>10808</v>
      </c>
      <c r="AQ177" t="n">
        <v>13160</v>
      </c>
      <c r="AR177" t="n">
        <v>1833</v>
      </c>
      <c r="AS177" t="n">
        <v>9453</v>
      </c>
      <c r="AT177" t="n">
        <v>13604</v>
      </c>
      <c r="AW177" t="inlineStr">
        <is>
          <t>Investimentos</t>
        </is>
      </c>
      <c r="AX177">
        <f>IFERROR(CHOOSE(MATCH($AW$6,{"Ano Completo","1º Semestre","2º Semestre","1º Trimestre","2º Trimestre","3º Trimestre","4º Trimestre"},0),SUM(AY177:BJ177),SUM(AY177:BD177),SUM(BE177:BJ177),SUM(AY177:BA177),SUM(BB177:BD177),SUM(BE177:BG177),SUM(BH177:BJ177)),0)</f>
        <v/>
      </c>
      <c r="AY177" t="n">
        <v>13036</v>
      </c>
      <c r="AZ177" t="n">
        <v>17816</v>
      </c>
      <c r="BA177" t="n">
        <v>11434</v>
      </c>
      <c r="BB177" t="n">
        <v>14766</v>
      </c>
      <c r="BC177" t="n">
        <v>13940</v>
      </c>
      <c r="BD177" t="n">
        <v>13531</v>
      </c>
      <c r="BE177" t="n">
        <v>19469</v>
      </c>
      <c r="BF177" t="n">
        <v>8118</v>
      </c>
      <c r="BG177" t="n">
        <v>1107</v>
      </c>
      <c r="BH177" t="n">
        <v>12785</v>
      </c>
      <c r="BI177" t="n">
        <v>19739</v>
      </c>
      <c r="BJ177" t="n">
        <v>15517</v>
      </c>
      <c r="BL177" t="inlineStr">
        <is>
          <t>Investimentos</t>
        </is>
      </c>
      <c r="BM177">
        <f>IFERROR(CHOOSE(MATCH($BL$6,{"Ano Completo","1º Semestre","2º Semestre","1º Trimestre","2º Trimestre","3º Trimestre","4º Trimestre"},0),SUM(BN177:BY177),SUM(BN177:BS177),SUM(BT177:BY177),SUM(BN177:BP177),SUM(BQ177:BS177),SUM(BT177:BV177),SUM(BW177:BY177)),0)</f>
        <v/>
      </c>
      <c r="BN177" t="n">
        <v>17856</v>
      </c>
      <c r="BO177" t="n">
        <v>6525</v>
      </c>
      <c r="BP177" t="n">
        <v>13507</v>
      </c>
      <c r="BQ177" t="n">
        <v>19320</v>
      </c>
      <c r="BR177" t="n">
        <v>14336</v>
      </c>
      <c r="BS177" t="n">
        <v>5511</v>
      </c>
      <c r="BT177" t="n">
        <v>10235</v>
      </c>
      <c r="BU177" t="n">
        <v>10808</v>
      </c>
      <c r="BV177" t="n">
        <v>13160</v>
      </c>
      <c r="BW177" t="n">
        <v>1833</v>
      </c>
      <c r="BX177" t="n">
        <v>9453</v>
      </c>
      <c r="BY177" t="n">
        <v>13604</v>
      </c>
      <c r="CB177" t="inlineStr">
        <is>
          <t>Investimentos</t>
        </is>
      </c>
      <c r="CC177">
        <f>IFERROR(CHOOSE(MATCH($CB$6,{"Ano Completo","1º Semestre","2º Semestre","1º Trimestre","2º Trimestre","3º Trimestre","4º Trimestre"},0),SUM(CD177:CO177),SUM(CD177:CI177),SUM(CJ177:CO177),SUM(CD177:CF177),SUM(CG177:CI177),SUM(CJ177:CL177),SUM(CM177:CO177)),0)</f>
        <v/>
      </c>
      <c r="CD177" t="n">
        <v>13036</v>
      </c>
      <c r="CE177" t="n">
        <v>17816</v>
      </c>
      <c r="CF177" t="n">
        <v>11434</v>
      </c>
      <c r="CG177" t="n">
        <v>14766</v>
      </c>
      <c r="CH177" t="n">
        <v>13940</v>
      </c>
      <c r="CI177" t="n">
        <v>13531</v>
      </c>
      <c r="CJ177" t="n">
        <v>19469</v>
      </c>
      <c r="CK177" t="n">
        <v>8118</v>
      </c>
      <c r="CL177" t="n">
        <v>1107</v>
      </c>
      <c r="CM177" t="n">
        <v>12785</v>
      </c>
      <c r="CN177" t="n">
        <v>19739</v>
      </c>
      <c r="CO177" t="n">
        <v>15517</v>
      </c>
      <c r="CQ177" t="inlineStr">
        <is>
          <t>Investimentos</t>
        </is>
      </c>
      <c r="CR177">
        <f>IFERROR(CHOOSE(MATCH($CQ$6,{"Ano Completo","1º Semestre","2º Semestre","1º Trimestre","2º Trimestre","3º Trimestre","4º Trimestre"},0),SUM(CS177:DD177),SUM(CS177:CX177),SUM(CY177:DD177),SUM(CS177:CU177),SUM(CV177:CX177),SUM(CY177:DA177),SUM(DB177:DD177)),0)</f>
        <v/>
      </c>
      <c r="CS177" t="n">
        <v>17856</v>
      </c>
      <c r="CT177" t="n">
        <v>6525</v>
      </c>
      <c r="CU177" t="n">
        <v>13507</v>
      </c>
      <c r="CV177" t="n">
        <v>19320</v>
      </c>
      <c r="CW177" t="n">
        <v>14336</v>
      </c>
      <c r="CX177" t="n">
        <v>5511</v>
      </c>
      <c r="CY177" t="n">
        <v>10235</v>
      </c>
      <c r="CZ177" t="n">
        <v>10808</v>
      </c>
      <c r="DA177" t="n">
        <v>13160</v>
      </c>
      <c r="DB177" t="n">
        <v>1833</v>
      </c>
      <c r="DC177" t="n">
        <v>9453</v>
      </c>
      <c r="DD177" t="n">
        <v>13604</v>
      </c>
      <c r="DG177" t="inlineStr">
        <is>
          <t>Investimentos</t>
        </is>
      </c>
      <c r="DH177">
        <f>IFERROR(CHOOSE(MATCH($DG$6,{"Ano Completo","1º Semestre","2º Semestre","1º Trimestre","2º Trimestre","3º Trimestre","4º Trimestre"},0),SUM(DI177:DT177),SUM(DI177:DN177),SUM(DO177:DT177),SUM(DI177:DK177),SUM(DL177:DN177),SUM(DO177:DQ177),SUM(DR177:DT177)),0)</f>
        <v/>
      </c>
      <c r="DI177" t="n">
        <v>13036</v>
      </c>
      <c r="DJ177" t="n">
        <v>17816</v>
      </c>
      <c r="DK177" t="n">
        <v>11434</v>
      </c>
      <c r="DL177" t="n">
        <v>14766</v>
      </c>
      <c r="DM177" t="n">
        <v>13940</v>
      </c>
      <c r="DN177" t="n">
        <v>13531</v>
      </c>
      <c r="DO177" t="n">
        <v>19469</v>
      </c>
      <c r="DP177" t="n">
        <v>8118</v>
      </c>
      <c r="DQ177" t="n">
        <v>1107</v>
      </c>
      <c r="DR177" t="n">
        <v>12785</v>
      </c>
      <c r="DS177" t="n">
        <v>19739</v>
      </c>
      <c r="DT177" t="n">
        <v>15517</v>
      </c>
      <c r="DV177" t="inlineStr">
        <is>
          <t>Investimentos</t>
        </is>
      </c>
      <c r="DW177">
        <f>IFERROR(CHOOSE(MATCH($DV$6,{"Ano Completo","1º Semestre","2º Semestre","1º Trimestre","2º Trimestre","3º Trimestre","4º Trimestre"},0),SUM(DX177:EI177),SUM(DX177:EC177),SUM(ED177:EI177),SUM(DX177:DZ177),SUM(EA177:EC177),SUM(ED177:EF177),SUM(EG177:EI177)),0)</f>
        <v/>
      </c>
      <c r="DX177" t="n">
        <v>17856</v>
      </c>
      <c r="DY177" t="n">
        <v>6525</v>
      </c>
      <c r="DZ177" t="n">
        <v>13507</v>
      </c>
      <c r="EA177" t="n">
        <v>19320</v>
      </c>
      <c r="EB177" t="n">
        <v>14336</v>
      </c>
      <c r="EC177" t="n">
        <v>5511</v>
      </c>
      <c r="ED177" t="n">
        <v>10235</v>
      </c>
      <c r="EE177" t="n">
        <v>10808</v>
      </c>
      <c r="EF177" t="n">
        <v>13160</v>
      </c>
      <c r="EG177" t="n">
        <v>1833</v>
      </c>
      <c r="EH177" t="n">
        <v>9453</v>
      </c>
      <c r="EI177" t="n">
        <v>13604</v>
      </c>
      <c r="EL177" t="inlineStr">
        <is>
          <t>Investimentos</t>
        </is>
      </c>
      <c r="EM177">
        <f>IFERROR(CHOOSE(MATCH($EL$6,{"Ano Completo","1º Semestre","2º Semestre","1º Trimestre","2º Trimestre","3º Trimestre","4º Trimestre"},0),SUM(EN177:EY177),SUM(EN177:ES177),SUM(ET177:EY177),SUM(EN177:EP177),SUM(EQ177:ES177),SUM(ET177:EV177),SUM(EW177:EY177)),0)</f>
        <v/>
      </c>
      <c r="EN177" t="n">
        <v>13036</v>
      </c>
      <c r="EO177" t="n">
        <v>17816</v>
      </c>
      <c r="EP177" t="n">
        <v>11434</v>
      </c>
      <c r="EQ177" t="n">
        <v>14766</v>
      </c>
      <c r="ER177" t="n">
        <v>13940</v>
      </c>
      <c r="ES177" t="n">
        <v>13531</v>
      </c>
      <c r="ET177" t="n">
        <v>19469</v>
      </c>
      <c r="EU177" t="n">
        <v>8118</v>
      </c>
      <c r="EV177" t="n">
        <v>1107</v>
      </c>
      <c r="EW177" t="n">
        <v>12785</v>
      </c>
      <c r="EX177" t="n">
        <v>19739</v>
      </c>
      <c r="EY177" t="n">
        <v>15517</v>
      </c>
    </row>
    <row r="178">
      <c r="B178" t="inlineStr">
        <is>
          <t>Depreciação</t>
        </is>
      </c>
      <c r="C178">
        <f>IFERROR(CHOOSE(MATCH($B$6,{"Ano Completo","1º Semestre","2º Semestre","1º Trimestre","2º Trimestre","3º Trimestre","4º Trimestre"},0),SUM(D178:O178),SUM(D178:I178),SUM(J178:O178),SUM(D178:F178),SUM(G178:I178),SUM(J178:L178),SUM(M178:O178)),0)</f>
        <v/>
      </c>
      <c r="R178" t="inlineStr">
        <is>
          <t>Depreciação</t>
        </is>
      </c>
      <c r="S178">
        <f>IFERROR(CHOOSE(MATCH($R$6,{"Ano Completo","1º Semestre","2º Semestre","1º Trimestre","2º Trimestre","3º Trimestre","4º Trimestre"},0),SUM(T178:AE178),SUM(T178:Y178),SUM(Z178:AE178),SUM(T178:V178),SUM(W178:Y178),SUM(Z178:AB178),SUM(AC178:AE178)),0)</f>
        <v/>
      </c>
      <c r="AG178" t="inlineStr">
        <is>
          <t>Depreciação</t>
        </is>
      </c>
      <c r="AH178">
        <f>IFERROR(CHOOSE(MATCH($AG$6,{"Ano Completo","1º Semestre","2º Semestre","1º Trimestre","2º Trimestre","3º Trimestre","4º Trimestre"},0),SUM(AI178:AT178),SUM(AI178:AN178),SUM(AO178:AT178),SUM(AI178:AK178),SUM(AL178:AN178),SUM(AO178:AQ178),SUM(AR178:AT178)),0)</f>
        <v/>
      </c>
      <c r="AI178" t="n">
        <v>3474</v>
      </c>
      <c r="AJ178" t="n">
        <v>11913</v>
      </c>
      <c r="AK178" t="n">
        <v>18257</v>
      </c>
      <c r="AL178" t="n">
        <v>12416</v>
      </c>
      <c r="AM178" t="n">
        <v>18549</v>
      </c>
      <c r="AN178" t="n">
        <v>8055</v>
      </c>
      <c r="AO178" t="n">
        <v>7748</v>
      </c>
      <c r="AP178" t="n">
        <v>9866</v>
      </c>
      <c r="AQ178" t="n">
        <v>2091</v>
      </c>
      <c r="AR178" t="n">
        <v>5061</v>
      </c>
      <c r="AS178" t="n">
        <v>1147</v>
      </c>
      <c r="AT178" t="n">
        <v>6921</v>
      </c>
      <c r="AW178" t="inlineStr">
        <is>
          <t>Depreciação</t>
        </is>
      </c>
      <c r="AX178">
        <f>IFERROR(CHOOSE(MATCH($AW$6,{"Ano Completo","1º Semestre","2º Semestre","1º Trimestre","2º Trimestre","3º Trimestre","4º Trimestre"},0),SUM(AY178:BJ178),SUM(AY178:BD178),SUM(BE178:BJ178),SUM(AY178:BA178),SUM(BB178:BD178),SUM(BE178:BG178),SUM(BH178:BJ178)),0)</f>
        <v/>
      </c>
      <c r="AY178" t="n">
        <v>9957</v>
      </c>
      <c r="AZ178" t="n">
        <v>18124</v>
      </c>
      <c r="BA178" t="n">
        <v>7657</v>
      </c>
      <c r="BB178" t="n">
        <v>5242</v>
      </c>
      <c r="BC178" t="n">
        <v>10539</v>
      </c>
      <c r="BD178" t="n">
        <v>17275</v>
      </c>
      <c r="BE178" t="n">
        <v>9502</v>
      </c>
      <c r="BF178" t="n">
        <v>9650</v>
      </c>
      <c r="BG178" t="n">
        <v>15376</v>
      </c>
      <c r="BH178" t="n">
        <v>4492</v>
      </c>
      <c r="BI178" t="n">
        <v>15542</v>
      </c>
      <c r="BJ178" t="n">
        <v>16953</v>
      </c>
      <c r="BL178" t="inlineStr">
        <is>
          <t>Depreciação</t>
        </is>
      </c>
      <c r="BM178">
        <f>IFERROR(CHOOSE(MATCH($BL$6,{"Ano Completo","1º Semestre","2º Semestre","1º Trimestre","2º Trimestre","3º Trimestre","4º Trimestre"},0),SUM(BN178:BY178),SUM(BN178:BS178),SUM(BT178:BY178),SUM(BN178:BP178),SUM(BQ178:BS178),SUM(BT178:BV178),SUM(BW178:BY178)),0)</f>
        <v/>
      </c>
      <c r="BN178" t="n">
        <v>3474</v>
      </c>
      <c r="BO178" t="n">
        <v>11913</v>
      </c>
      <c r="BP178" t="n">
        <v>18257</v>
      </c>
      <c r="BQ178" t="n">
        <v>12416</v>
      </c>
      <c r="BR178" t="n">
        <v>18549</v>
      </c>
      <c r="BS178" t="n">
        <v>8055</v>
      </c>
      <c r="BT178" t="n">
        <v>7748</v>
      </c>
      <c r="BU178" t="n">
        <v>9866</v>
      </c>
      <c r="BV178" t="n">
        <v>2091</v>
      </c>
      <c r="BW178" t="n">
        <v>5061</v>
      </c>
      <c r="BX178" t="n">
        <v>1147</v>
      </c>
      <c r="BY178" t="n">
        <v>6921</v>
      </c>
      <c r="CB178" t="inlineStr">
        <is>
          <t>Depreciação</t>
        </is>
      </c>
      <c r="CC178">
        <f>IFERROR(CHOOSE(MATCH($CB$6,{"Ano Completo","1º Semestre","2º Semestre","1º Trimestre","2º Trimestre","3º Trimestre","4º Trimestre"},0),SUM(CD178:CO178),SUM(CD178:CI178),SUM(CJ178:CO178),SUM(CD178:CF178),SUM(CG178:CI178),SUM(CJ178:CL178),SUM(CM178:CO178)),0)</f>
        <v/>
      </c>
      <c r="CD178" t="n">
        <v>9957</v>
      </c>
      <c r="CE178" t="n">
        <v>18124</v>
      </c>
      <c r="CF178" t="n">
        <v>7657</v>
      </c>
      <c r="CG178" t="n">
        <v>5242</v>
      </c>
      <c r="CH178" t="n">
        <v>10539</v>
      </c>
      <c r="CI178" t="n">
        <v>17275</v>
      </c>
      <c r="CJ178" t="n">
        <v>9502</v>
      </c>
      <c r="CK178" t="n">
        <v>9650</v>
      </c>
      <c r="CL178" t="n">
        <v>15376</v>
      </c>
      <c r="CM178" t="n">
        <v>4492</v>
      </c>
      <c r="CN178" t="n">
        <v>15542</v>
      </c>
      <c r="CO178" t="n">
        <v>16953</v>
      </c>
      <c r="CQ178" t="inlineStr">
        <is>
          <t>Depreciação</t>
        </is>
      </c>
      <c r="CR178">
        <f>IFERROR(CHOOSE(MATCH($CQ$6,{"Ano Completo","1º Semestre","2º Semestre","1º Trimestre","2º Trimestre","3º Trimestre","4º Trimestre"},0),SUM(CS178:DD178),SUM(CS178:CX178),SUM(CY178:DD178),SUM(CS178:CU178),SUM(CV178:CX178),SUM(CY178:DA178),SUM(DB178:DD178)),0)</f>
        <v/>
      </c>
      <c r="CS178" t="n">
        <v>3474</v>
      </c>
      <c r="CT178" t="n">
        <v>11913</v>
      </c>
      <c r="CU178" t="n">
        <v>18257</v>
      </c>
      <c r="CV178" t="n">
        <v>12416</v>
      </c>
      <c r="CW178" t="n">
        <v>18549</v>
      </c>
      <c r="CX178" t="n">
        <v>8055</v>
      </c>
      <c r="CY178" t="n">
        <v>7748</v>
      </c>
      <c r="CZ178" t="n">
        <v>9866</v>
      </c>
      <c r="DA178" t="n">
        <v>2091</v>
      </c>
      <c r="DB178" t="n">
        <v>5061</v>
      </c>
      <c r="DC178" t="n">
        <v>1147</v>
      </c>
      <c r="DD178" t="n">
        <v>6921</v>
      </c>
      <c r="DG178" t="inlineStr">
        <is>
          <t>Depreciação</t>
        </is>
      </c>
      <c r="DH178">
        <f>IFERROR(CHOOSE(MATCH($DG$6,{"Ano Completo","1º Semestre","2º Semestre","1º Trimestre","2º Trimestre","3º Trimestre","4º Trimestre"},0),SUM(DI178:DT178),SUM(DI178:DN178),SUM(DO178:DT178),SUM(DI178:DK178),SUM(DL178:DN178),SUM(DO178:DQ178),SUM(DR178:DT178)),0)</f>
        <v/>
      </c>
      <c r="DI178" t="n">
        <v>9957</v>
      </c>
      <c r="DJ178" t="n">
        <v>18124</v>
      </c>
      <c r="DK178" t="n">
        <v>7657</v>
      </c>
      <c r="DL178" t="n">
        <v>5242</v>
      </c>
      <c r="DM178" t="n">
        <v>10539</v>
      </c>
      <c r="DN178" t="n">
        <v>17275</v>
      </c>
      <c r="DO178" t="n">
        <v>9502</v>
      </c>
      <c r="DP178" t="n">
        <v>9650</v>
      </c>
      <c r="DQ178" t="n">
        <v>15376</v>
      </c>
      <c r="DR178" t="n">
        <v>4492</v>
      </c>
      <c r="DS178" t="n">
        <v>15542</v>
      </c>
      <c r="DT178" t="n">
        <v>16953</v>
      </c>
      <c r="DV178" t="inlineStr">
        <is>
          <t>Depreciação</t>
        </is>
      </c>
      <c r="DW178">
        <f>IFERROR(CHOOSE(MATCH($DV$6,{"Ano Completo","1º Semestre","2º Semestre","1º Trimestre","2º Trimestre","3º Trimestre","4º Trimestre"},0),SUM(DX178:EI178),SUM(DX178:EC178),SUM(ED178:EI178),SUM(DX178:DZ178),SUM(EA178:EC178),SUM(ED178:EF178),SUM(EG178:EI178)),0)</f>
        <v/>
      </c>
      <c r="DX178" t="n">
        <v>3474</v>
      </c>
      <c r="DY178" t="n">
        <v>11913</v>
      </c>
      <c r="DZ178" t="n">
        <v>18257</v>
      </c>
      <c r="EA178" t="n">
        <v>12416</v>
      </c>
      <c r="EB178" t="n">
        <v>18549</v>
      </c>
      <c r="EC178" t="n">
        <v>8055</v>
      </c>
      <c r="ED178" t="n">
        <v>7748</v>
      </c>
      <c r="EE178" t="n">
        <v>9866</v>
      </c>
      <c r="EF178" t="n">
        <v>2091</v>
      </c>
      <c r="EG178" t="n">
        <v>5061</v>
      </c>
      <c r="EH178" t="n">
        <v>1147</v>
      </c>
      <c r="EI178" t="n">
        <v>6921</v>
      </c>
      <c r="EL178" t="inlineStr">
        <is>
          <t>Depreciação</t>
        </is>
      </c>
      <c r="EM178">
        <f>IFERROR(CHOOSE(MATCH($EL$6,{"Ano Completo","1º Semestre","2º Semestre","1º Trimestre","2º Trimestre","3º Trimestre","4º Trimestre"},0),SUM(EN178:EY178),SUM(EN178:ES178),SUM(ET178:EY178),SUM(EN178:EP178),SUM(EQ178:ES178),SUM(ET178:EV178),SUM(EW178:EY178)),0)</f>
        <v/>
      </c>
      <c r="EN178" t="n">
        <v>9957</v>
      </c>
      <c r="EO178" t="n">
        <v>18124</v>
      </c>
      <c r="EP178" t="n">
        <v>7657</v>
      </c>
      <c r="EQ178" t="n">
        <v>5242</v>
      </c>
      <c r="ER178" t="n">
        <v>10539</v>
      </c>
      <c r="ES178" t="n">
        <v>17275</v>
      </c>
      <c r="ET178" t="n">
        <v>9502</v>
      </c>
      <c r="EU178" t="n">
        <v>9650</v>
      </c>
      <c r="EV178" t="n">
        <v>15376</v>
      </c>
      <c r="EW178" t="n">
        <v>4492</v>
      </c>
      <c r="EX178" t="n">
        <v>15542</v>
      </c>
      <c r="EY178" t="n">
        <v>16953</v>
      </c>
    </row>
    <row r="179">
      <c r="B179" t="inlineStr">
        <is>
          <t>Despesas Financeiras</t>
        </is>
      </c>
      <c r="C179">
        <f>IFERROR(CHOOSE(MATCH($B$6,{"Ano Completo","1º Semestre","2º Semestre","1º Trimestre","2º Trimestre","3º Trimestre","4º Trimestre"},0),SUM(D179:O179),SUM(D179:I179),SUM(J179:O179),SUM(D179:F179),SUM(G179:I179),SUM(J179:L179),SUM(M179:O179)),0)</f>
        <v/>
      </c>
      <c r="R179" t="inlineStr">
        <is>
          <t>Despesas Financeiras</t>
        </is>
      </c>
      <c r="S179">
        <f>IFERROR(CHOOSE(MATCH($R$6,{"Ano Completo","1º Semestre","2º Semestre","1º Trimestre","2º Trimestre","3º Trimestre","4º Trimestre"},0),SUM(T179:AE179),SUM(T179:Y179),SUM(Z179:AE179),SUM(T179:V179),SUM(W179:Y179),SUM(Z179:AB179),SUM(AC179:AE179)),0)</f>
        <v/>
      </c>
      <c r="AG179" t="inlineStr">
        <is>
          <t>Despesas Financeiras</t>
        </is>
      </c>
      <c r="AH179">
        <f>IFERROR(CHOOSE(MATCH($AG$6,{"Ano Completo","1º Semestre","2º Semestre","1º Trimestre","2º Trimestre","3º Trimestre","4º Trimestre"},0),SUM(AI179:AT179),SUM(AI179:AN179),SUM(AO179:AT179),SUM(AI179:AK179),SUM(AL179:AN179),SUM(AO179:AQ179),SUM(AR179:AT179)),0)</f>
        <v/>
      </c>
      <c r="AI179" t="n">
        <v>1618</v>
      </c>
      <c r="AJ179" t="n">
        <v>18421</v>
      </c>
      <c r="AK179" t="n">
        <v>16975</v>
      </c>
      <c r="AL179" t="n">
        <v>3784</v>
      </c>
      <c r="AM179" t="n">
        <v>17508</v>
      </c>
      <c r="AN179" t="n">
        <v>11242</v>
      </c>
      <c r="AO179" t="n">
        <v>8121</v>
      </c>
      <c r="AP179" t="n">
        <v>5310</v>
      </c>
      <c r="AQ179" t="n">
        <v>4061</v>
      </c>
      <c r="AR179" t="n">
        <v>18463</v>
      </c>
      <c r="AS179" t="n">
        <v>16519</v>
      </c>
      <c r="AT179" t="n">
        <v>12326</v>
      </c>
      <c r="AW179" t="inlineStr">
        <is>
          <t>Despesas Financeiras</t>
        </is>
      </c>
      <c r="AX179">
        <f>IFERROR(CHOOSE(MATCH($AW$6,{"Ano Completo","1º Semestre","2º Semestre","1º Trimestre","2º Trimestre","3º Trimestre","4º Trimestre"},0),SUM(AY179:BJ179),SUM(AY179:BD179),SUM(BE179:BJ179),SUM(AY179:BA179),SUM(BB179:BD179),SUM(BE179:BG179),SUM(BH179:BJ179)),0)</f>
        <v/>
      </c>
      <c r="AY179" t="n">
        <v>5674</v>
      </c>
      <c r="AZ179" t="n">
        <v>9928</v>
      </c>
      <c r="BA179" t="n">
        <v>5926</v>
      </c>
      <c r="BB179" t="n">
        <v>7528</v>
      </c>
      <c r="BC179" t="n">
        <v>3880</v>
      </c>
      <c r="BD179" t="n">
        <v>19588</v>
      </c>
      <c r="BE179" t="n">
        <v>13972</v>
      </c>
      <c r="BF179" t="n">
        <v>3098</v>
      </c>
      <c r="BG179" t="n">
        <v>14817</v>
      </c>
      <c r="BH179" t="n">
        <v>2757</v>
      </c>
      <c r="BI179" t="n">
        <v>19184</v>
      </c>
      <c r="BJ179" t="n">
        <v>17284</v>
      </c>
      <c r="BL179" t="inlineStr">
        <is>
          <t>Despesas Financeiras</t>
        </is>
      </c>
      <c r="BM179">
        <f>IFERROR(CHOOSE(MATCH($BL$6,{"Ano Completo","1º Semestre","2º Semestre","1º Trimestre","2º Trimestre","3º Trimestre","4º Trimestre"},0),SUM(BN179:BY179),SUM(BN179:BS179),SUM(BT179:BY179),SUM(BN179:BP179),SUM(BQ179:BS179),SUM(BT179:BV179),SUM(BW179:BY179)),0)</f>
        <v/>
      </c>
      <c r="BN179" t="n">
        <v>1618</v>
      </c>
      <c r="BO179" t="n">
        <v>18421</v>
      </c>
      <c r="BP179" t="n">
        <v>16975</v>
      </c>
      <c r="BQ179" t="n">
        <v>3784</v>
      </c>
      <c r="BR179" t="n">
        <v>17508</v>
      </c>
      <c r="BS179" t="n">
        <v>11242</v>
      </c>
      <c r="BT179" t="n">
        <v>8121</v>
      </c>
      <c r="BU179" t="n">
        <v>5310</v>
      </c>
      <c r="BV179" t="n">
        <v>4061</v>
      </c>
      <c r="BW179" t="n">
        <v>18463</v>
      </c>
      <c r="BX179" t="n">
        <v>16519</v>
      </c>
      <c r="BY179" t="n">
        <v>12326</v>
      </c>
      <c r="CB179" t="inlineStr">
        <is>
          <t>Despesas Financeiras</t>
        </is>
      </c>
      <c r="CC179">
        <f>IFERROR(CHOOSE(MATCH($CB$6,{"Ano Completo","1º Semestre","2º Semestre","1º Trimestre","2º Trimestre","3º Trimestre","4º Trimestre"},0),SUM(CD179:CO179),SUM(CD179:CI179),SUM(CJ179:CO179),SUM(CD179:CF179),SUM(CG179:CI179),SUM(CJ179:CL179),SUM(CM179:CO179)),0)</f>
        <v/>
      </c>
      <c r="CD179" t="n">
        <v>5674</v>
      </c>
      <c r="CE179" t="n">
        <v>9928</v>
      </c>
      <c r="CF179" t="n">
        <v>5926</v>
      </c>
      <c r="CG179" t="n">
        <v>7528</v>
      </c>
      <c r="CH179" t="n">
        <v>3880</v>
      </c>
      <c r="CI179" t="n">
        <v>19588</v>
      </c>
      <c r="CJ179" t="n">
        <v>13972</v>
      </c>
      <c r="CK179" t="n">
        <v>3098</v>
      </c>
      <c r="CL179" t="n">
        <v>14817</v>
      </c>
      <c r="CM179" t="n">
        <v>2757</v>
      </c>
      <c r="CN179" t="n">
        <v>19184</v>
      </c>
      <c r="CO179" t="n">
        <v>17284</v>
      </c>
      <c r="CQ179" t="inlineStr">
        <is>
          <t>Despesas Financeiras</t>
        </is>
      </c>
      <c r="CR179">
        <f>IFERROR(CHOOSE(MATCH($CQ$6,{"Ano Completo","1º Semestre","2º Semestre","1º Trimestre","2º Trimestre","3º Trimestre","4º Trimestre"},0),SUM(CS179:DD179),SUM(CS179:CX179),SUM(CY179:DD179),SUM(CS179:CU179),SUM(CV179:CX179),SUM(CY179:DA179),SUM(DB179:DD179)),0)</f>
        <v/>
      </c>
      <c r="CS179" t="n">
        <v>1618</v>
      </c>
      <c r="CT179" t="n">
        <v>18421</v>
      </c>
      <c r="CU179" t="n">
        <v>16975</v>
      </c>
      <c r="CV179" t="n">
        <v>3784</v>
      </c>
      <c r="CW179" t="n">
        <v>17508</v>
      </c>
      <c r="CX179" t="n">
        <v>11242</v>
      </c>
      <c r="CY179" t="n">
        <v>8121</v>
      </c>
      <c r="CZ179" t="n">
        <v>5310</v>
      </c>
      <c r="DA179" t="n">
        <v>4061</v>
      </c>
      <c r="DB179" t="n">
        <v>18463</v>
      </c>
      <c r="DC179" t="n">
        <v>16519</v>
      </c>
      <c r="DD179" t="n">
        <v>12326</v>
      </c>
      <c r="DG179" t="inlineStr">
        <is>
          <t>Despesas Financeiras</t>
        </is>
      </c>
      <c r="DH179">
        <f>IFERROR(CHOOSE(MATCH($DG$6,{"Ano Completo","1º Semestre","2º Semestre","1º Trimestre","2º Trimestre","3º Trimestre","4º Trimestre"},0),SUM(DI179:DT179),SUM(DI179:DN179),SUM(DO179:DT179),SUM(DI179:DK179),SUM(DL179:DN179),SUM(DO179:DQ179),SUM(DR179:DT179)),0)</f>
        <v/>
      </c>
      <c r="DI179" t="n">
        <v>5674</v>
      </c>
      <c r="DJ179" t="n">
        <v>9928</v>
      </c>
      <c r="DK179" t="n">
        <v>5926</v>
      </c>
      <c r="DL179" t="n">
        <v>7528</v>
      </c>
      <c r="DM179" t="n">
        <v>3880</v>
      </c>
      <c r="DN179" t="n">
        <v>19588</v>
      </c>
      <c r="DO179" t="n">
        <v>13972</v>
      </c>
      <c r="DP179" t="n">
        <v>3098</v>
      </c>
      <c r="DQ179" t="n">
        <v>14817</v>
      </c>
      <c r="DR179" t="n">
        <v>2757</v>
      </c>
      <c r="DS179" t="n">
        <v>19184</v>
      </c>
      <c r="DT179" t="n">
        <v>17284</v>
      </c>
      <c r="DV179" t="inlineStr">
        <is>
          <t>Despesas Financeiras</t>
        </is>
      </c>
      <c r="DW179">
        <f>IFERROR(CHOOSE(MATCH($DV$6,{"Ano Completo","1º Semestre","2º Semestre","1º Trimestre","2º Trimestre","3º Trimestre","4º Trimestre"},0),SUM(DX179:EI179),SUM(DX179:EC179),SUM(ED179:EI179),SUM(DX179:DZ179),SUM(EA179:EC179),SUM(ED179:EF179),SUM(EG179:EI179)),0)</f>
        <v/>
      </c>
      <c r="DX179" t="n">
        <v>1618</v>
      </c>
      <c r="DY179" t="n">
        <v>18421</v>
      </c>
      <c r="DZ179" t="n">
        <v>16975</v>
      </c>
      <c r="EA179" t="n">
        <v>3784</v>
      </c>
      <c r="EB179" t="n">
        <v>17508</v>
      </c>
      <c r="EC179" t="n">
        <v>11242</v>
      </c>
      <c r="ED179" t="n">
        <v>8121</v>
      </c>
      <c r="EE179" t="n">
        <v>5310</v>
      </c>
      <c r="EF179" t="n">
        <v>4061</v>
      </c>
      <c r="EG179" t="n">
        <v>18463</v>
      </c>
      <c r="EH179" t="n">
        <v>16519</v>
      </c>
      <c r="EI179" t="n">
        <v>12326</v>
      </c>
      <c r="EL179" t="inlineStr">
        <is>
          <t>Despesas Financeiras</t>
        </is>
      </c>
      <c r="EM179">
        <f>IFERROR(CHOOSE(MATCH($EL$6,{"Ano Completo","1º Semestre","2º Semestre","1º Trimestre","2º Trimestre","3º Trimestre","4º Trimestre"},0),SUM(EN179:EY179),SUM(EN179:ES179),SUM(ET179:EY179),SUM(EN179:EP179),SUM(EQ179:ES179),SUM(ET179:EV179),SUM(EW179:EY179)),0)</f>
        <v/>
      </c>
      <c r="EN179" t="n">
        <v>5674</v>
      </c>
      <c r="EO179" t="n">
        <v>9928</v>
      </c>
      <c r="EP179" t="n">
        <v>5926</v>
      </c>
      <c r="EQ179" t="n">
        <v>7528</v>
      </c>
      <c r="ER179" t="n">
        <v>3880</v>
      </c>
      <c r="ES179" t="n">
        <v>19588</v>
      </c>
      <c r="ET179" t="n">
        <v>13972</v>
      </c>
      <c r="EU179" t="n">
        <v>3098</v>
      </c>
      <c r="EV179" t="n">
        <v>14817</v>
      </c>
      <c r="EW179" t="n">
        <v>2757</v>
      </c>
      <c r="EX179" t="n">
        <v>19184</v>
      </c>
      <c r="EY179" t="n">
        <v>17284</v>
      </c>
    </row>
    <row r="182">
      <c r="B182" t="inlineStr">
        <is>
          <t>Impostos</t>
        </is>
      </c>
      <c r="C182">
        <f>IFERROR(CHOOSE(MATCH($B$6,{"Ano Completo","1º Semestre","2º Semestre","1º Trimestre","2º Trimestre","3º Trimestre","4º Trimestre"},0),SUM(D182:O182),SUM(D182:I182),SUM(J182:O182),SUM(D182:F182),SUM(G182:I182),SUM(J182:L182),SUM(M182:O182)),0)</f>
        <v/>
      </c>
      <c r="R182" t="inlineStr">
        <is>
          <t>Impostos</t>
        </is>
      </c>
      <c r="S182">
        <f>IFERROR(CHOOSE(MATCH($R$6,{"Ano Completo","1º Semestre","2º Semestre","1º Trimestre","2º Trimestre","3º Trimestre","4º Trimestre"},0),SUM(T182:AE182),SUM(T182:Y182),SUM(Z182:AE182),SUM(T182:V182),SUM(W182:Y182),SUM(Z182:AB182),SUM(AC182:AE182)),0)</f>
        <v/>
      </c>
      <c r="AG182" t="inlineStr">
        <is>
          <t>Impostos</t>
        </is>
      </c>
      <c r="AH182">
        <f>IFERROR(CHOOSE(MATCH($AG$6,{"Ano Completo","1º Semestre","2º Semestre","1º Trimestre","2º Trimestre","3º Trimestre","4º Trimestre"},0),SUM(AI182:AT182),SUM(AI182:AN182),SUM(AO182:AT182),SUM(AI182:AK182),SUM(AL182:AN182),SUM(AO182:AQ182),SUM(AR182:AT182)),0)</f>
        <v/>
      </c>
      <c r="AI182" t="n">
        <v>46188</v>
      </c>
      <c r="AJ182" t="n">
        <v>58985</v>
      </c>
      <c r="AK182" t="n">
        <v>59726</v>
      </c>
      <c r="AL182" t="n">
        <v>73579</v>
      </c>
      <c r="AM182" t="n">
        <v>55238</v>
      </c>
      <c r="AN182" t="n">
        <v>51575</v>
      </c>
      <c r="AO182" t="n">
        <v>53711</v>
      </c>
      <c r="AP182" t="n">
        <v>67927</v>
      </c>
      <c r="AQ182" t="n">
        <v>43609</v>
      </c>
      <c r="AR182" t="n">
        <v>86159</v>
      </c>
      <c r="AS182" t="n">
        <v>51030</v>
      </c>
      <c r="AT182" t="n">
        <v>64490</v>
      </c>
      <c r="AW182" t="inlineStr">
        <is>
          <t>Impostos</t>
        </is>
      </c>
      <c r="AX182">
        <f>IFERROR(CHOOSE(MATCH($AW$6,{"Ano Completo","1º Semestre","2º Semestre","1º Trimestre","2º Trimestre","3º Trimestre","4º Trimestre"},0),SUM(AY182:BJ182),SUM(AY182:BD182),SUM(BE182:BJ182),SUM(AY182:BA182),SUM(BB182:BD182),SUM(BE182:BG182),SUM(BH182:BJ182)),0)</f>
        <v/>
      </c>
      <c r="AY182" t="n">
        <v>50323</v>
      </c>
      <c r="AZ182" t="n">
        <v>62903</v>
      </c>
      <c r="BA182" t="n">
        <v>81426</v>
      </c>
      <c r="BB182" t="n">
        <v>53214</v>
      </c>
      <c r="BC182" t="n">
        <v>64826</v>
      </c>
      <c r="BD182" t="n">
        <v>50596</v>
      </c>
      <c r="BE182" t="n">
        <v>65664</v>
      </c>
      <c r="BF182" t="n">
        <v>65778</v>
      </c>
      <c r="BG182" t="n">
        <v>77294</v>
      </c>
      <c r="BH182" t="n">
        <v>81013</v>
      </c>
      <c r="BI182" t="n">
        <v>45737</v>
      </c>
      <c r="BJ182" t="n">
        <v>66907</v>
      </c>
      <c r="BL182" t="inlineStr">
        <is>
          <t>Impostos</t>
        </is>
      </c>
      <c r="BM182">
        <f>IFERROR(CHOOSE(MATCH($BL$6,{"Ano Completo","1º Semestre","2º Semestre","1º Trimestre","2º Trimestre","3º Trimestre","4º Trimestre"},0),SUM(BN182:BY182),SUM(BN182:BS182),SUM(BT182:BY182),SUM(BN182:BP182),SUM(BQ182:BS182),SUM(BT182:BV182),SUM(BW182:BY182)),0)</f>
        <v/>
      </c>
      <c r="BN182" t="n">
        <v>46188</v>
      </c>
      <c r="BO182" t="n">
        <v>58985</v>
      </c>
      <c r="BP182" t="n">
        <v>59726</v>
      </c>
      <c r="BQ182" t="n">
        <v>73579</v>
      </c>
      <c r="BR182" t="n">
        <v>55238</v>
      </c>
      <c r="BS182" t="n">
        <v>51575</v>
      </c>
      <c r="BT182" t="n">
        <v>53711</v>
      </c>
      <c r="BU182" t="n">
        <v>67927</v>
      </c>
      <c r="BV182" t="n">
        <v>43609</v>
      </c>
      <c r="BW182" t="n">
        <v>86159</v>
      </c>
      <c r="BX182" t="n">
        <v>51030</v>
      </c>
      <c r="BY182" t="n">
        <v>64490</v>
      </c>
      <c r="CB182" t="inlineStr">
        <is>
          <t>Impostos</t>
        </is>
      </c>
      <c r="CC182">
        <f>IFERROR(CHOOSE(MATCH($CB$6,{"Ano Completo","1º Semestre","2º Semestre","1º Trimestre","2º Trimestre","3º Trimestre","4º Trimestre"},0),SUM(CD182:CO182),SUM(CD182:CI182),SUM(CJ182:CO182),SUM(CD182:CF182),SUM(CG182:CI182),SUM(CJ182:CL182),SUM(CM182:CO182)),0)</f>
        <v/>
      </c>
      <c r="CD182" t="n">
        <v>50323</v>
      </c>
      <c r="CE182" t="n">
        <v>62903</v>
      </c>
      <c r="CF182" t="n">
        <v>81426</v>
      </c>
      <c r="CG182" t="n">
        <v>53214</v>
      </c>
      <c r="CH182" t="n">
        <v>64826</v>
      </c>
      <c r="CI182" t="n">
        <v>50596</v>
      </c>
      <c r="CJ182" t="n">
        <v>65664</v>
      </c>
      <c r="CK182" t="n">
        <v>65778</v>
      </c>
      <c r="CL182" t="n">
        <v>77294</v>
      </c>
      <c r="CM182" t="n">
        <v>81013</v>
      </c>
      <c r="CN182" t="n">
        <v>45737</v>
      </c>
      <c r="CO182" t="n">
        <v>66907</v>
      </c>
      <c r="CQ182" t="inlineStr">
        <is>
          <t>Impostos</t>
        </is>
      </c>
      <c r="CR182">
        <f>IFERROR(CHOOSE(MATCH($CQ$6,{"Ano Completo","1º Semestre","2º Semestre","1º Trimestre","2º Trimestre","3º Trimestre","4º Trimestre"},0),SUM(CS182:DD182),SUM(CS182:CX182),SUM(CY182:DD182),SUM(CS182:CU182),SUM(CV182:CX182),SUM(CY182:DA182),SUM(DB182:DD182)),0)</f>
        <v/>
      </c>
      <c r="CS182" t="n">
        <v>46188</v>
      </c>
      <c r="CT182" t="n">
        <v>58985</v>
      </c>
      <c r="CU182" t="n">
        <v>59726</v>
      </c>
      <c r="CV182" t="n">
        <v>73579</v>
      </c>
      <c r="CW182" t="n">
        <v>55238</v>
      </c>
      <c r="CX182" t="n">
        <v>51575</v>
      </c>
      <c r="CY182" t="n">
        <v>53711</v>
      </c>
      <c r="CZ182" t="n">
        <v>67927</v>
      </c>
      <c r="DA182" t="n">
        <v>43609</v>
      </c>
      <c r="DB182" t="n">
        <v>86159</v>
      </c>
      <c r="DC182" t="n">
        <v>51030</v>
      </c>
      <c r="DD182" t="n">
        <v>64490</v>
      </c>
      <c r="DG182" t="inlineStr">
        <is>
          <t>Impostos</t>
        </is>
      </c>
      <c r="DH182">
        <f>IFERROR(CHOOSE(MATCH($DG$6,{"Ano Completo","1º Semestre","2º Semestre","1º Trimestre","2º Trimestre","3º Trimestre","4º Trimestre"},0),SUM(DI182:DT182),SUM(DI182:DN182),SUM(DO182:DT182),SUM(DI182:DK182),SUM(DL182:DN182),SUM(DO182:DQ182),SUM(DR182:DT182)),0)</f>
        <v/>
      </c>
      <c r="DI182" t="n">
        <v>50323</v>
      </c>
      <c r="DJ182" t="n">
        <v>62903</v>
      </c>
      <c r="DK182" t="n">
        <v>81426</v>
      </c>
      <c r="DL182" t="n">
        <v>53214</v>
      </c>
      <c r="DM182" t="n">
        <v>64826</v>
      </c>
      <c r="DN182" t="n">
        <v>50596</v>
      </c>
      <c r="DO182" t="n">
        <v>65664</v>
      </c>
      <c r="DP182" t="n">
        <v>65778</v>
      </c>
      <c r="DQ182" t="n">
        <v>77294</v>
      </c>
      <c r="DR182" t="n">
        <v>81013</v>
      </c>
      <c r="DS182" t="n">
        <v>45737</v>
      </c>
      <c r="DT182" t="n">
        <v>66907</v>
      </c>
      <c r="DV182" t="inlineStr">
        <is>
          <t>Impostos</t>
        </is>
      </c>
      <c r="DW182">
        <f>IFERROR(CHOOSE(MATCH($DV$6,{"Ano Completo","1º Semestre","2º Semestre","1º Trimestre","2º Trimestre","3º Trimestre","4º Trimestre"},0),SUM(DX182:EI182),SUM(DX182:EC182),SUM(ED182:EI182),SUM(DX182:DZ182),SUM(EA182:EC182),SUM(ED182:EF182),SUM(EG182:EI182)),0)</f>
        <v/>
      </c>
      <c r="DX182" t="n">
        <v>46188</v>
      </c>
      <c r="DY182" t="n">
        <v>58985</v>
      </c>
      <c r="DZ182" t="n">
        <v>59726</v>
      </c>
      <c r="EA182" t="n">
        <v>73579</v>
      </c>
      <c r="EB182" t="n">
        <v>55238</v>
      </c>
      <c r="EC182" t="n">
        <v>51575</v>
      </c>
      <c r="ED182" t="n">
        <v>53711</v>
      </c>
      <c r="EE182" t="n">
        <v>67927</v>
      </c>
      <c r="EF182" t="n">
        <v>43609</v>
      </c>
      <c r="EG182" t="n">
        <v>86159</v>
      </c>
      <c r="EH182" t="n">
        <v>51030</v>
      </c>
      <c r="EI182" t="n">
        <v>64490</v>
      </c>
      <c r="EL182" t="inlineStr">
        <is>
          <t>Impostos</t>
        </is>
      </c>
      <c r="EM182">
        <f>IFERROR(CHOOSE(MATCH($EL$6,{"Ano Completo","1º Semestre","2º Semestre","1º Trimestre","2º Trimestre","3º Trimestre","4º Trimestre"},0),SUM(EN182:EY182),SUM(EN182:ES182),SUM(ET182:EY182),SUM(EN182:EP182),SUM(EQ182:ES182),SUM(ET182:EV182),SUM(EW182:EY182)),0)</f>
        <v/>
      </c>
      <c r="EN182" t="n">
        <v>50323</v>
      </c>
      <c r="EO182" t="n">
        <v>62903</v>
      </c>
      <c r="EP182" t="n">
        <v>81426</v>
      </c>
      <c r="EQ182" t="n">
        <v>53214</v>
      </c>
      <c r="ER182" t="n">
        <v>64826</v>
      </c>
      <c r="ES182" t="n">
        <v>50596</v>
      </c>
      <c r="ET182" t="n">
        <v>65664</v>
      </c>
      <c r="EU182" t="n">
        <v>65778</v>
      </c>
      <c r="EV182" t="n">
        <v>77294</v>
      </c>
      <c r="EW182" t="n">
        <v>81013</v>
      </c>
      <c r="EX182" t="n">
        <v>45737</v>
      </c>
      <c r="EY182" t="n">
        <v>66907</v>
      </c>
    </row>
    <row r="184">
      <c r="B184" t="inlineStr">
        <is>
          <t>PIS</t>
        </is>
      </c>
      <c r="C184">
        <f>IFERROR(CHOOSE(MATCH($B$6,{"Ano Completo","1º Semestre","2º Semestre","1º Trimestre","2º Trimestre","3º Trimestre","4º Trimestre"},0),SUM(D184:O184),SUM(D184:I184),SUM(J184:O184),SUM(D184:F184),SUM(G184:I184),SUM(J184:L184),SUM(M184:O184)),0)</f>
        <v/>
      </c>
      <c r="R184" t="inlineStr">
        <is>
          <t>PIS</t>
        </is>
      </c>
      <c r="S184">
        <f>IFERROR(CHOOSE(MATCH($R$6,{"Ano Completo","1º Semestre","2º Semestre","1º Trimestre","2º Trimestre","3º Trimestre","4º Trimestre"},0),SUM(T184:AE184),SUM(T184:Y184),SUM(Z184:AE184),SUM(T184:V184),SUM(W184:Y184),SUM(Z184:AB184),SUM(AC184:AE184)),0)</f>
        <v/>
      </c>
      <c r="AG184" t="inlineStr">
        <is>
          <t>PIS</t>
        </is>
      </c>
      <c r="AH184">
        <f>IFERROR(CHOOSE(MATCH($AG$6,{"Ano Completo","1º Semestre","2º Semestre","1º Trimestre","2º Trimestre","3º Trimestre","4º Trimestre"},0),SUM(AI184:AT184),SUM(AI184:AN184),SUM(AO184:AT184),SUM(AI184:AK184),SUM(AL184:AN184),SUM(AO184:AQ184),SUM(AR184:AT184)),0)</f>
        <v/>
      </c>
      <c r="AI184" t="n">
        <v>12737</v>
      </c>
      <c r="AJ184" t="n">
        <v>7792</v>
      </c>
      <c r="AK184" t="n">
        <v>17911</v>
      </c>
      <c r="AL184" t="n">
        <v>16827</v>
      </c>
      <c r="AM184" t="n">
        <v>13569</v>
      </c>
      <c r="AN184" t="n">
        <v>8208</v>
      </c>
      <c r="AO184" t="n">
        <v>9679</v>
      </c>
      <c r="AP184" t="n">
        <v>8790</v>
      </c>
      <c r="AQ184" t="n">
        <v>10144</v>
      </c>
      <c r="AR184" t="n">
        <v>11719</v>
      </c>
      <c r="AS184" t="n">
        <v>15652</v>
      </c>
      <c r="AT184" t="n">
        <v>1848</v>
      </c>
      <c r="AW184" t="inlineStr">
        <is>
          <t>PIS</t>
        </is>
      </c>
      <c r="AX184">
        <f>IFERROR(CHOOSE(MATCH($AW$6,{"Ano Completo","1º Semestre","2º Semestre","1º Trimestre","2º Trimestre","3º Trimestre","4º Trimestre"},0),SUM(AY184:BJ184),SUM(AY184:BD184),SUM(BE184:BJ184),SUM(AY184:BA184),SUM(BB184:BD184),SUM(BE184:BG184),SUM(BH184:BJ184)),0)</f>
        <v/>
      </c>
      <c r="AY184" t="n">
        <v>1798</v>
      </c>
      <c r="AZ184" t="n">
        <v>4347</v>
      </c>
      <c r="BA184" t="n">
        <v>16508</v>
      </c>
      <c r="BB184" t="n">
        <v>1469</v>
      </c>
      <c r="BC184" t="n">
        <v>5457</v>
      </c>
      <c r="BD184" t="n">
        <v>17698</v>
      </c>
      <c r="BE184" t="n">
        <v>15887</v>
      </c>
      <c r="BF184" t="n">
        <v>17599</v>
      </c>
      <c r="BG184" t="n">
        <v>11255</v>
      </c>
      <c r="BH184" t="n">
        <v>11429</v>
      </c>
      <c r="BI184" t="n">
        <v>1992</v>
      </c>
      <c r="BJ184" t="n">
        <v>9366</v>
      </c>
      <c r="BL184" t="inlineStr">
        <is>
          <t>PIS</t>
        </is>
      </c>
      <c r="BM184">
        <f>IFERROR(CHOOSE(MATCH($BL$6,{"Ano Completo","1º Semestre","2º Semestre","1º Trimestre","2º Trimestre","3º Trimestre","4º Trimestre"},0),SUM(BN184:BY184),SUM(BN184:BS184),SUM(BT184:BY184),SUM(BN184:BP184),SUM(BQ184:BS184),SUM(BT184:BV184),SUM(BW184:BY184)),0)</f>
        <v/>
      </c>
      <c r="BN184" t="n">
        <v>12737</v>
      </c>
      <c r="BO184" t="n">
        <v>7792</v>
      </c>
      <c r="BP184" t="n">
        <v>17911</v>
      </c>
      <c r="BQ184" t="n">
        <v>16827</v>
      </c>
      <c r="BR184" t="n">
        <v>13569</v>
      </c>
      <c r="BS184" t="n">
        <v>8208</v>
      </c>
      <c r="BT184" t="n">
        <v>9679</v>
      </c>
      <c r="BU184" t="n">
        <v>8790</v>
      </c>
      <c r="BV184" t="n">
        <v>10144</v>
      </c>
      <c r="BW184" t="n">
        <v>11719</v>
      </c>
      <c r="BX184" t="n">
        <v>15652</v>
      </c>
      <c r="BY184" t="n">
        <v>1848</v>
      </c>
      <c r="CB184" t="inlineStr">
        <is>
          <t>PIS</t>
        </is>
      </c>
      <c r="CC184">
        <f>IFERROR(CHOOSE(MATCH($CB$6,{"Ano Completo","1º Semestre","2º Semestre","1º Trimestre","2º Trimestre","3º Trimestre","4º Trimestre"},0),SUM(CD184:CO184),SUM(CD184:CI184),SUM(CJ184:CO184),SUM(CD184:CF184),SUM(CG184:CI184),SUM(CJ184:CL184),SUM(CM184:CO184)),0)</f>
        <v/>
      </c>
      <c r="CD184" t="n">
        <v>1798</v>
      </c>
      <c r="CE184" t="n">
        <v>4347</v>
      </c>
      <c r="CF184" t="n">
        <v>16508</v>
      </c>
      <c r="CG184" t="n">
        <v>1469</v>
      </c>
      <c r="CH184" t="n">
        <v>5457</v>
      </c>
      <c r="CI184" t="n">
        <v>17698</v>
      </c>
      <c r="CJ184" t="n">
        <v>15887</v>
      </c>
      <c r="CK184" t="n">
        <v>17599</v>
      </c>
      <c r="CL184" t="n">
        <v>11255</v>
      </c>
      <c r="CM184" t="n">
        <v>11429</v>
      </c>
      <c r="CN184" t="n">
        <v>1992</v>
      </c>
      <c r="CO184" t="n">
        <v>9366</v>
      </c>
      <c r="CQ184" t="inlineStr">
        <is>
          <t>PIS</t>
        </is>
      </c>
      <c r="CR184">
        <f>IFERROR(CHOOSE(MATCH($CQ$6,{"Ano Completo","1º Semestre","2º Semestre","1º Trimestre","2º Trimestre","3º Trimestre","4º Trimestre"},0),SUM(CS184:DD184),SUM(CS184:CX184),SUM(CY184:DD184),SUM(CS184:CU184),SUM(CV184:CX184),SUM(CY184:DA184),SUM(DB184:DD184)),0)</f>
        <v/>
      </c>
      <c r="CS184" t="n">
        <v>12737</v>
      </c>
      <c r="CT184" t="n">
        <v>7792</v>
      </c>
      <c r="CU184" t="n">
        <v>17911</v>
      </c>
      <c r="CV184" t="n">
        <v>16827</v>
      </c>
      <c r="CW184" t="n">
        <v>13569</v>
      </c>
      <c r="CX184" t="n">
        <v>8208</v>
      </c>
      <c r="CY184" t="n">
        <v>9679</v>
      </c>
      <c r="CZ184" t="n">
        <v>8790</v>
      </c>
      <c r="DA184" t="n">
        <v>10144</v>
      </c>
      <c r="DB184" t="n">
        <v>11719</v>
      </c>
      <c r="DC184" t="n">
        <v>15652</v>
      </c>
      <c r="DD184" t="n">
        <v>1848</v>
      </c>
      <c r="DG184" t="inlineStr">
        <is>
          <t>PIS</t>
        </is>
      </c>
      <c r="DH184">
        <f>IFERROR(CHOOSE(MATCH($DG$6,{"Ano Completo","1º Semestre","2º Semestre","1º Trimestre","2º Trimestre","3º Trimestre","4º Trimestre"},0),SUM(DI184:DT184),SUM(DI184:DN184),SUM(DO184:DT184),SUM(DI184:DK184),SUM(DL184:DN184),SUM(DO184:DQ184),SUM(DR184:DT184)),0)</f>
        <v/>
      </c>
      <c r="DI184" t="n">
        <v>1798</v>
      </c>
      <c r="DJ184" t="n">
        <v>4347</v>
      </c>
      <c r="DK184" t="n">
        <v>16508</v>
      </c>
      <c r="DL184" t="n">
        <v>1469</v>
      </c>
      <c r="DM184" t="n">
        <v>5457</v>
      </c>
      <c r="DN184" t="n">
        <v>17698</v>
      </c>
      <c r="DO184" t="n">
        <v>15887</v>
      </c>
      <c r="DP184" t="n">
        <v>17599</v>
      </c>
      <c r="DQ184" t="n">
        <v>11255</v>
      </c>
      <c r="DR184" t="n">
        <v>11429</v>
      </c>
      <c r="DS184" t="n">
        <v>1992</v>
      </c>
      <c r="DT184" t="n">
        <v>9366</v>
      </c>
      <c r="DV184" t="inlineStr">
        <is>
          <t>PIS</t>
        </is>
      </c>
      <c r="DW184">
        <f>IFERROR(CHOOSE(MATCH($DV$6,{"Ano Completo","1º Semestre","2º Semestre","1º Trimestre","2º Trimestre","3º Trimestre","4º Trimestre"},0),SUM(DX184:EI184),SUM(DX184:EC184),SUM(ED184:EI184),SUM(DX184:DZ184),SUM(EA184:EC184),SUM(ED184:EF184),SUM(EG184:EI184)),0)</f>
        <v/>
      </c>
      <c r="DX184" t="n">
        <v>12737</v>
      </c>
      <c r="DY184" t="n">
        <v>7792</v>
      </c>
      <c r="DZ184" t="n">
        <v>17911</v>
      </c>
      <c r="EA184" t="n">
        <v>16827</v>
      </c>
      <c r="EB184" t="n">
        <v>13569</v>
      </c>
      <c r="EC184" t="n">
        <v>8208</v>
      </c>
      <c r="ED184" t="n">
        <v>9679</v>
      </c>
      <c r="EE184" t="n">
        <v>8790</v>
      </c>
      <c r="EF184" t="n">
        <v>10144</v>
      </c>
      <c r="EG184" t="n">
        <v>11719</v>
      </c>
      <c r="EH184" t="n">
        <v>15652</v>
      </c>
      <c r="EI184" t="n">
        <v>1848</v>
      </c>
      <c r="EL184" t="inlineStr">
        <is>
          <t>PIS</t>
        </is>
      </c>
      <c r="EM184">
        <f>IFERROR(CHOOSE(MATCH($EL$6,{"Ano Completo","1º Semestre","2º Semestre","1º Trimestre","2º Trimestre","3º Trimestre","4º Trimestre"},0),SUM(EN184:EY184),SUM(EN184:ES184),SUM(ET184:EY184),SUM(EN184:EP184),SUM(EQ184:ES184),SUM(ET184:EV184),SUM(EW184:EY184)),0)</f>
        <v/>
      </c>
      <c r="EN184" t="n">
        <v>1798</v>
      </c>
      <c r="EO184" t="n">
        <v>4347</v>
      </c>
      <c r="EP184" t="n">
        <v>16508</v>
      </c>
      <c r="EQ184" t="n">
        <v>1469</v>
      </c>
      <c r="ER184" t="n">
        <v>5457</v>
      </c>
      <c r="ES184" t="n">
        <v>17698</v>
      </c>
      <c r="ET184" t="n">
        <v>15887</v>
      </c>
      <c r="EU184" t="n">
        <v>17599</v>
      </c>
      <c r="EV184" t="n">
        <v>11255</v>
      </c>
      <c r="EW184" t="n">
        <v>11429</v>
      </c>
      <c r="EX184" t="n">
        <v>1992</v>
      </c>
      <c r="EY184" t="n">
        <v>9366</v>
      </c>
    </row>
    <row r="185">
      <c r="B185" t="inlineStr">
        <is>
          <t>COFINS</t>
        </is>
      </c>
      <c r="C185">
        <f>IFERROR(CHOOSE(MATCH($B$6,{"Ano Completo","1º Semestre","2º Semestre","1º Trimestre","2º Trimestre","3º Trimestre","4º Trimestre"},0),SUM(D185:O185),SUM(D185:I185),SUM(J185:O185),SUM(D185:F185),SUM(G185:I185),SUM(J185:L185),SUM(M185:O185)),0)</f>
        <v/>
      </c>
      <c r="R185" t="inlineStr">
        <is>
          <t>COFINS</t>
        </is>
      </c>
      <c r="S185">
        <f>IFERROR(CHOOSE(MATCH($R$6,{"Ano Completo","1º Semestre","2º Semestre","1º Trimestre","2º Trimestre","3º Trimestre","4º Trimestre"},0),SUM(T185:AE185),SUM(T185:Y185),SUM(Z185:AE185),SUM(T185:V185),SUM(W185:Y185),SUM(Z185:AB185),SUM(AC185:AE185)),0)</f>
        <v/>
      </c>
      <c r="AG185" t="inlineStr">
        <is>
          <t>COFINS</t>
        </is>
      </c>
      <c r="AH185">
        <f>IFERROR(CHOOSE(MATCH($AG$6,{"Ano Completo","1º Semestre","2º Semestre","1º Trimestre","2º Trimestre","3º Trimestre","4º Trimestre"},0),SUM(AI185:AT185),SUM(AI185:AN185),SUM(AO185:AT185),SUM(AI185:AK185),SUM(AL185:AN185),SUM(AO185:AQ185),SUM(AR185:AT185)),0)</f>
        <v/>
      </c>
      <c r="AI185" t="n">
        <v>13947</v>
      </c>
      <c r="AJ185" t="n">
        <v>15714</v>
      </c>
      <c r="AK185" t="n">
        <v>2416</v>
      </c>
      <c r="AL185" t="n">
        <v>13787</v>
      </c>
      <c r="AM185" t="n">
        <v>2042</v>
      </c>
      <c r="AN185" t="n">
        <v>1387</v>
      </c>
      <c r="AO185" t="n">
        <v>16319</v>
      </c>
      <c r="AP185" t="n">
        <v>7782</v>
      </c>
      <c r="AQ185" t="n">
        <v>4186</v>
      </c>
      <c r="AR185" t="n">
        <v>18596</v>
      </c>
      <c r="AS185" t="n">
        <v>7390</v>
      </c>
      <c r="AT185" t="n">
        <v>1493</v>
      </c>
      <c r="AW185" t="inlineStr">
        <is>
          <t>COFINS</t>
        </is>
      </c>
      <c r="AX185">
        <f>IFERROR(CHOOSE(MATCH($AW$6,{"Ano Completo","1º Semestre","2º Semestre","1º Trimestre","2º Trimestre","3º Trimestre","4º Trimestre"},0),SUM(AY185:BJ185),SUM(AY185:BD185),SUM(BE185:BJ185),SUM(AY185:BA185),SUM(BB185:BD185),SUM(BE185:BG185),SUM(BH185:BJ185)),0)</f>
        <v/>
      </c>
      <c r="AY185" t="n">
        <v>15689</v>
      </c>
      <c r="AZ185" t="n">
        <v>5273</v>
      </c>
      <c r="BA185" t="n">
        <v>17353</v>
      </c>
      <c r="BB185" t="n">
        <v>5560</v>
      </c>
      <c r="BC185" t="n">
        <v>19372</v>
      </c>
      <c r="BD185" t="n">
        <v>4090</v>
      </c>
      <c r="BE185" t="n">
        <v>3696</v>
      </c>
      <c r="BF185" t="n">
        <v>6422</v>
      </c>
      <c r="BG185" t="n">
        <v>19410</v>
      </c>
      <c r="BH185" t="n">
        <v>14370</v>
      </c>
      <c r="BI185" t="n">
        <v>11993</v>
      </c>
      <c r="BJ185" t="n">
        <v>19755</v>
      </c>
      <c r="BL185" t="inlineStr">
        <is>
          <t>COFINS</t>
        </is>
      </c>
      <c r="BM185">
        <f>IFERROR(CHOOSE(MATCH($BL$6,{"Ano Completo","1º Semestre","2º Semestre","1º Trimestre","2º Trimestre","3º Trimestre","4º Trimestre"},0),SUM(BN185:BY185),SUM(BN185:BS185),SUM(BT185:BY185),SUM(BN185:BP185),SUM(BQ185:BS185),SUM(BT185:BV185),SUM(BW185:BY185)),0)</f>
        <v/>
      </c>
      <c r="BN185" t="n">
        <v>13947</v>
      </c>
      <c r="BO185" t="n">
        <v>15714</v>
      </c>
      <c r="BP185" t="n">
        <v>2416</v>
      </c>
      <c r="BQ185" t="n">
        <v>13787</v>
      </c>
      <c r="BR185" t="n">
        <v>2042</v>
      </c>
      <c r="BS185" t="n">
        <v>1387</v>
      </c>
      <c r="BT185" t="n">
        <v>16319</v>
      </c>
      <c r="BU185" t="n">
        <v>7782</v>
      </c>
      <c r="BV185" t="n">
        <v>4186</v>
      </c>
      <c r="BW185" t="n">
        <v>18596</v>
      </c>
      <c r="BX185" t="n">
        <v>7390</v>
      </c>
      <c r="BY185" t="n">
        <v>1493</v>
      </c>
      <c r="CB185" t="inlineStr">
        <is>
          <t>COFINS</t>
        </is>
      </c>
      <c r="CC185">
        <f>IFERROR(CHOOSE(MATCH($CB$6,{"Ano Completo","1º Semestre","2º Semestre","1º Trimestre","2º Trimestre","3º Trimestre","4º Trimestre"},0),SUM(CD185:CO185),SUM(CD185:CI185),SUM(CJ185:CO185),SUM(CD185:CF185),SUM(CG185:CI185),SUM(CJ185:CL185),SUM(CM185:CO185)),0)</f>
        <v/>
      </c>
      <c r="CD185" t="n">
        <v>15689</v>
      </c>
      <c r="CE185" t="n">
        <v>5273</v>
      </c>
      <c r="CF185" t="n">
        <v>17353</v>
      </c>
      <c r="CG185" t="n">
        <v>5560</v>
      </c>
      <c r="CH185" t="n">
        <v>19372</v>
      </c>
      <c r="CI185" t="n">
        <v>4090</v>
      </c>
      <c r="CJ185" t="n">
        <v>3696</v>
      </c>
      <c r="CK185" t="n">
        <v>6422</v>
      </c>
      <c r="CL185" t="n">
        <v>19410</v>
      </c>
      <c r="CM185" t="n">
        <v>14370</v>
      </c>
      <c r="CN185" t="n">
        <v>11993</v>
      </c>
      <c r="CO185" t="n">
        <v>19755</v>
      </c>
      <c r="CQ185" t="inlineStr">
        <is>
          <t>COFINS</t>
        </is>
      </c>
      <c r="CR185">
        <f>IFERROR(CHOOSE(MATCH($CQ$6,{"Ano Completo","1º Semestre","2º Semestre","1º Trimestre","2º Trimestre","3º Trimestre","4º Trimestre"},0),SUM(CS185:DD185),SUM(CS185:CX185),SUM(CY185:DD185),SUM(CS185:CU185),SUM(CV185:CX185),SUM(CY185:DA185),SUM(DB185:DD185)),0)</f>
        <v/>
      </c>
      <c r="CS185" t="n">
        <v>13947</v>
      </c>
      <c r="CT185" t="n">
        <v>15714</v>
      </c>
      <c r="CU185" t="n">
        <v>2416</v>
      </c>
      <c r="CV185" t="n">
        <v>13787</v>
      </c>
      <c r="CW185" t="n">
        <v>2042</v>
      </c>
      <c r="CX185" t="n">
        <v>1387</v>
      </c>
      <c r="CY185" t="n">
        <v>16319</v>
      </c>
      <c r="CZ185" t="n">
        <v>7782</v>
      </c>
      <c r="DA185" t="n">
        <v>4186</v>
      </c>
      <c r="DB185" t="n">
        <v>18596</v>
      </c>
      <c r="DC185" t="n">
        <v>7390</v>
      </c>
      <c r="DD185" t="n">
        <v>1493</v>
      </c>
      <c r="DG185" t="inlineStr">
        <is>
          <t>COFINS</t>
        </is>
      </c>
      <c r="DH185">
        <f>IFERROR(CHOOSE(MATCH($DG$6,{"Ano Completo","1º Semestre","2º Semestre","1º Trimestre","2º Trimestre","3º Trimestre","4º Trimestre"},0),SUM(DI185:DT185),SUM(DI185:DN185),SUM(DO185:DT185),SUM(DI185:DK185),SUM(DL185:DN185),SUM(DO185:DQ185),SUM(DR185:DT185)),0)</f>
        <v/>
      </c>
      <c r="DI185" t="n">
        <v>15689</v>
      </c>
      <c r="DJ185" t="n">
        <v>5273</v>
      </c>
      <c r="DK185" t="n">
        <v>17353</v>
      </c>
      <c r="DL185" t="n">
        <v>5560</v>
      </c>
      <c r="DM185" t="n">
        <v>19372</v>
      </c>
      <c r="DN185" t="n">
        <v>4090</v>
      </c>
      <c r="DO185" t="n">
        <v>3696</v>
      </c>
      <c r="DP185" t="n">
        <v>6422</v>
      </c>
      <c r="DQ185" t="n">
        <v>19410</v>
      </c>
      <c r="DR185" t="n">
        <v>14370</v>
      </c>
      <c r="DS185" t="n">
        <v>11993</v>
      </c>
      <c r="DT185" t="n">
        <v>19755</v>
      </c>
      <c r="DV185" t="inlineStr">
        <is>
          <t>COFINS</t>
        </is>
      </c>
      <c r="DW185">
        <f>IFERROR(CHOOSE(MATCH($DV$6,{"Ano Completo","1º Semestre","2º Semestre","1º Trimestre","2º Trimestre","3º Trimestre","4º Trimestre"},0),SUM(DX185:EI185),SUM(DX185:EC185),SUM(ED185:EI185),SUM(DX185:DZ185),SUM(EA185:EC185),SUM(ED185:EF185),SUM(EG185:EI185)),0)</f>
        <v/>
      </c>
      <c r="DX185" t="n">
        <v>13947</v>
      </c>
      <c r="DY185" t="n">
        <v>15714</v>
      </c>
      <c r="DZ185" t="n">
        <v>2416</v>
      </c>
      <c r="EA185" t="n">
        <v>13787</v>
      </c>
      <c r="EB185" t="n">
        <v>2042</v>
      </c>
      <c r="EC185" t="n">
        <v>1387</v>
      </c>
      <c r="ED185" t="n">
        <v>16319</v>
      </c>
      <c r="EE185" t="n">
        <v>7782</v>
      </c>
      <c r="EF185" t="n">
        <v>4186</v>
      </c>
      <c r="EG185" t="n">
        <v>18596</v>
      </c>
      <c r="EH185" t="n">
        <v>7390</v>
      </c>
      <c r="EI185" t="n">
        <v>1493</v>
      </c>
      <c r="EL185" t="inlineStr">
        <is>
          <t>COFINS</t>
        </is>
      </c>
      <c r="EM185">
        <f>IFERROR(CHOOSE(MATCH($EL$6,{"Ano Completo","1º Semestre","2º Semestre","1º Trimestre","2º Trimestre","3º Trimestre","4º Trimestre"},0),SUM(EN185:EY185),SUM(EN185:ES185),SUM(ET185:EY185),SUM(EN185:EP185),SUM(EQ185:ES185),SUM(ET185:EV185),SUM(EW185:EY185)),0)</f>
        <v/>
      </c>
      <c r="EN185" t="n">
        <v>15689</v>
      </c>
      <c r="EO185" t="n">
        <v>5273</v>
      </c>
      <c r="EP185" t="n">
        <v>17353</v>
      </c>
      <c r="EQ185" t="n">
        <v>5560</v>
      </c>
      <c r="ER185" t="n">
        <v>19372</v>
      </c>
      <c r="ES185" t="n">
        <v>4090</v>
      </c>
      <c r="ET185" t="n">
        <v>3696</v>
      </c>
      <c r="EU185" t="n">
        <v>6422</v>
      </c>
      <c r="EV185" t="n">
        <v>19410</v>
      </c>
      <c r="EW185" t="n">
        <v>14370</v>
      </c>
      <c r="EX185" t="n">
        <v>11993</v>
      </c>
      <c r="EY185" t="n">
        <v>19755</v>
      </c>
    </row>
    <row r="186">
      <c r="B186" t="inlineStr">
        <is>
          <t>ISS</t>
        </is>
      </c>
      <c r="C186">
        <f>IFERROR(CHOOSE(MATCH($B$6,{"Ano Completo","1º Semestre","2º Semestre","1º Trimestre","2º Trimestre","3º Trimestre","4º Trimestre"},0),SUM(D186:O186),SUM(D186:I186),SUM(J186:O186),SUM(D186:F186),SUM(G186:I186),SUM(J186:L186),SUM(M186:O186)),0)</f>
        <v/>
      </c>
      <c r="R186" t="inlineStr">
        <is>
          <t>ISS</t>
        </is>
      </c>
      <c r="S186">
        <f>IFERROR(CHOOSE(MATCH($R$6,{"Ano Completo","1º Semestre","2º Semestre","1º Trimestre","2º Trimestre","3º Trimestre","4º Trimestre"},0),SUM(T186:AE186),SUM(T186:Y186),SUM(Z186:AE186),SUM(T186:V186),SUM(W186:Y186),SUM(Z186:AB186),SUM(AC186:AE186)),0)</f>
        <v/>
      </c>
      <c r="AG186" t="inlineStr">
        <is>
          <t>ISS</t>
        </is>
      </c>
      <c r="AH186">
        <f>IFERROR(CHOOSE(MATCH($AG$6,{"Ano Completo","1º Semestre","2º Semestre","1º Trimestre","2º Trimestre","3º Trimestre","4º Trimestre"},0),SUM(AI186:AT186),SUM(AI186:AN186),SUM(AO186:AT186),SUM(AI186:AK186),SUM(AL186:AN186),SUM(AO186:AQ186),SUM(AR186:AT186)),0)</f>
        <v/>
      </c>
      <c r="AI186" t="n">
        <v>12755</v>
      </c>
      <c r="AJ186" t="n">
        <v>3581</v>
      </c>
      <c r="AK186" t="n">
        <v>2412</v>
      </c>
      <c r="AL186" t="n">
        <v>2243</v>
      </c>
      <c r="AM186" t="n">
        <v>10137</v>
      </c>
      <c r="AN186" t="n">
        <v>14250</v>
      </c>
      <c r="AO186" t="n">
        <v>4095</v>
      </c>
      <c r="AP186" t="n">
        <v>19679</v>
      </c>
      <c r="AQ186" t="n">
        <v>3264</v>
      </c>
      <c r="AR186" t="n">
        <v>17993</v>
      </c>
      <c r="AS186" t="n">
        <v>2414</v>
      </c>
      <c r="AT186" t="n">
        <v>18318</v>
      </c>
      <c r="AW186" t="inlineStr">
        <is>
          <t>ISS</t>
        </is>
      </c>
      <c r="AX186">
        <f>IFERROR(CHOOSE(MATCH($AW$6,{"Ano Completo","1º Semestre","2º Semestre","1º Trimestre","2º Trimestre","3º Trimestre","4º Trimestre"},0),SUM(AY186:BJ186),SUM(AY186:BD186),SUM(BE186:BJ186),SUM(AY186:BA186),SUM(BB186:BD186),SUM(BE186:BG186),SUM(BH186:BJ186)),0)</f>
        <v/>
      </c>
      <c r="AY186" t="n">
        <v>12904</v>
      </c>
      <c r="AZ186" t="n">
        <v>14083</v>
      </c>
      <c r="BA186" t="n">
        <v>10198</v>
      </c>
      <c r="BB186" t="n">
        <v>15839</v>
      </c>
      <c r="BC186" t="n">
        <v>1787</v>
      </c>
      <c r="BD186" t="n">
        <v>1790</v>
      </c>
      <c r="BE186" t="n">
        <v>7595</v>
      </c>
      <c r="BF186" t="n">
        <v>11998</v>
      </c>
      <c r="BG186" t="n">
        <v>14098</v>
      </c>
      <c r="BH186" t="n">
        <v>11375</v>
      </c>
      <c r="BI186" t="n">
        <v>18875</v>
      </c>
      <c r="BJ186" t="n">
        <v>7167</v>
      </c>
      <c r="BL186" t="inlineStr">
        <is>
          <t>ISS</t>
        </is>
      </c>
      <c r="BM186">
        <f>IFERROR(CHOOSE(MATCH($BL$6,{"Ano Completo","1º Semestre","2º Semestre","1º Trimestre","2º Trimestre","3º Trimestre","4º Trimestre"},0),SUM(BN186:BY186),SUM(BN186:BS186),SUM(BT186:BY186),SUM(BN186:BP186),SUM(BQ186:BS186),SUM(BT186:BV186),SUM(BW186:BY186)),0)</f>
        <v/>
      </c>
      <c r="BN186" t="n">
        <v>12755</v>
      </c>
      <c r="BO186" t="n">
        <v>3581</v>
      </c>
      <c r="BP186" t="n">
        <v>2412</v>
      </c>
      <c r="BQ186" t="n">
        <v>2243</v>
      </c>
      <c r="BR186" t="n">
        <v>10137</v>
      </c>
      <c r="BS186" t="n">
        <v>14250</v>
      </c>
      <c r="BT186" t="n">
        <v>4095</v>
      </c>
      <c r="BU186" t="n">
        <v>19679</v>
      </c>
      <c r="BV186" t="n">
        <v>3264</v>
      </c>
      <c r="BW186" t="n">
        <v>17993</v>
      </c>
      <c r="BX186" t="n">
        <v>2414</v>
      </c>
      <c r="BY186" t="n">
        <v>18318</v>
      </c>
      <c r="CB186" t="inlineStr">
        <is>
          <t>ISS</t>
        </is>
      </c>
      <c r="CC186">
        <f>IFERROR(CHOOSE(MATCH($CB$6,{"Ano Completo","1º Semestre","2º Semestre","1º Trimestre","2º Trimestre","3º Trimestre","4º Trimestre"},0),SUM(CD186:CO186),SUM(CD186:CI186),SUM(CJ186:CO186),SUM(CD186:CF186),SUM(CG186:CI186),SUM(CJ186:CL186),SUM(CM186:CO186)),0)</f>
        <v/>
      </c>
      <c r="CD186" t="n">
        <v>12904</v>
      </c>
      <c r="CE186" t="n">
        <v>14083</v>
      </c>
      <c r="CF186" t="n">
        <v>10198</v>
      </c>
      <c r="CG186" t="n">
        <v>15839</v>
      </c>
      <c r="CH186" t="n">
        <v>1787</v>
      </c>
      <c r="CI186" t="n">
        <v>1790</v>
      </c>
      <c r="CJ186" t="n">
        <v>7595</v>
      </c>
      <c r="CK186" t="n">
        <v>11998</v>
      </c>
      <c r="CL186" t="n">
        <v>14098</v>
      </c>
      <c r="CM186" t="n">
        <v>11375</v>
      </c>
      <c r="CN186" t="n">
        <v>18875</v>
      </c>
      <c r="CO186" t="n">
        <v>7167</v>
      </c>
      <c r="CQ186" t="inlineStr">
        <is>
          <t>ISS</t>
        </is>
      </c>
      <c r="CR186">
        <f>IFERROR(CHOOSE(MATCH($CQ$6,{"Ano Completo","1º Semestre","2º Semestre","1º Trimestre","2º Trimestre","3º Trimestre","4º Trimestre"},0),SUM(CS186:DD186),SUM(CS186:CX186),SUM(CY186:DD186),SUM(CS186:CU186),SUM(CV186:CX186),SUM(CY186:DA186),SUM(DB186:DD186)),0)</f>
        <v/>
      </c>
      <c r="CS186" t="n">
        <v>12755</v>
      </c>
      <c r="CT186" t="n">
        <v>3581</v>
      </c>
      <c r="CU186" t="n">
        <v>2412</v>
      </c>
      <c r="CV186" t="n">
        <v>2243</v>
      </c>
      <c r="CW186" t="n">
        <v>10137</v>
      </c>
      <c r="CX186" t="n">
        <v>14250</v>
      </c>
      <c r="CY186" t="n">
        <v>4095</v>
      </c>
      <c r="CZ186" t="n">
        <v>19679</v>
      </c>
      <c r="DA186" t="n">
        <v>3264</v>
      </c>
      <c r="DB186" t="n">
        <v>17993</v>
      </c>
      <c r="DC186" t="n">
        <v>2414</v>
      </c>
      <c r="DD186" t="n">
        <v>18318</v>
      </c>
      <c r="DG186" t="inlineStr">
        <is>
          <t>ISS</t>
        </is>
      </c>
      <c r="DH186">
        <f>IFERROR(CHOOSE(MATCH($DG$6,{"Ano Completo","1º Semestre","2º Semestre","1º Trimestre","2º Trimestre","3º Trimestre","4º Trimestre"},0),SUM(DI186:DT186),SUM(DI186:DN186),SUM(DO186:DT186),SUM(DI186:DK186),SUM(DL186:DN186),SUM(DO186:DQ186),SUM(DR186:DT186)),0)</f>
        <v/>
      </c>
      <c r="DI186" t="n">
        <v>12904</v>
      </c>
      <c r="DJ186" t="n">
        <v>14083</v>
      </c>
      <c r="DK186" t="n">
        <v>10198</v>
      </c>
      <c r="DL186" t="n">
        <v>15839</v>
      </c>
      <c r="DM186" t="n">
        <v>1787</v>
      </c>
      <c r="DN186" t="n">
        <v>1790</v>
      </c>
      <c r="DO186" t="n">
        <v>7595</v>
      </c>
      <c r="DP186" t="n">
        <v>11998</v>
      </c>
      <c r="DQ186" t="n">
        <v>14098</v>
      </c>
      <c r="DR186" t="n">
        <v>11375</v>
      </c>
      <c r="DS186" t="n">
        <v>18875</v>
      </c>
      <c r="DT186" t="n">
        <v>7167</v>
      </c>
      <c r="DV186" t="inlineStr">
        <is>
          <t>ISS</t>
        </is>
      </c>
      <c r="DW186">
        <f>IFERROR(CHOOSE(MATCH($DV$6,{"Ano Completo","1º Semestre","2º Semestre","1º Trimestre","2º Trimestre","3º Trimestre","4º Trimestre"},0),SUM(DX186:EI186),SUM(DX186:EC186),SUM(ED186:EI186),SUM(DX186:DZ186),SUM(EA186:EC186),SUM(ED186:EF186),SUM(EG186:EI186)),0)</f>
        <v/>
      </c>
      <c r="DX186" t="n">
        <v>12755</v>
      </c>
      <c r="DY186" t="n">
        <v>3581</v>
      </c>
      <c r="DZ186" t="n">
        <v>2412</v>
      </c>
      <c r="EA186" t="n">
        <v>2243</v>
      </c>
      <c r="EB186" t="n">
        <v>10137</v>
      </c>
      <c r="EC186" t="n">
        <v>14250</v>
      </c>
      <c r="ED186" t="n">
        <v>4095</v>
      </c>
      <c r="EE186" t="n">
        <v>19679</v>
      </c>
      <c r="EF186" t="n">
        <v>3264</v>
      </c>
      <c r="EG186" t="n">
        <v>17993</v>
      </c>
      <c r="EH186" t="n">
        <v>2414</v>
      </c>
      <c r="EI186" t="n">
        <v>18318</v>
      </c>
      <c r="EL186" t="inlineStr">
        <is>
          <t>ISS</t>
        </is>
      </c>
      <c r="EM186">
        <f>IFERROR(CHOOSE(MATCH($EL$6,{"Ano Completo","1º Semestre","2º Semestre","1º Trimestre","2º Trimestre","3º Trimestre","4º Trimestre"},0),SUM(EN186:EY186),SUM(EN186:ES186),SUM(ET186:EY186),SUM(EN186:EP186),SUM(EQ186:ES186),SUM(ET186:EV186),SUM(EW186:EY186)),0)</f>
        <v/>
      </c>
      <c r="EN186" t="n">
        <v>12904</v>
      </c>
      <c r="EO186" t="n">
        <v>14083</v>
      </c>
      <c r="EP186" t="n">
        <v>10198</v>
      </c>
      <c r="EQ186" t="n">
        <v>15839</v>
      </c>
      <c r="ER186" t="n">
        <v>1787</v>
      </c>
      <c r="ES186" t="n">
        <v>1790</v>
      </c>
      <c r="ET186" t="n">
        <v>7595</v>
      </c>
      <c r="EU186" t="n">
        <v>11998</v>
      </c>
      <c r="EV186" t="n">
        <v>14098</v>
      </c>
      <c r="EW186" t="n">
        <v>11375</v>
      </c>
      <c r="EX186" t="n">
        <v>18875</v>
      </c>
      <c r="EY186" t="n">
        <v>7167</v>
      </c>
    </row>
    <row r="187">
      <c r="B187" t="inlineStr">
        <is>
          <t>Imposto de Renda (IR)</t>
        </is>
      </c>
      <c r="C187">
        <f>IFERROR(CHOOSE(MATCH($B$6,{"Ano Completo","1º Semestre","2º Semestre","1º Trimestre","2º Trimestre","3º Trimestre","4º Trimestre"},0),SUM(D187:O187),SUM(D187:I187),SUM(J187:O187),SUM(D187:F187),SUM(G187:I187),SUM(J187:L187),SUM(M187:O187)),0)</f>
        <v/>
      </c>
      <c r="R187" t="inlineStr">
        <is>
          <t>Imposto de Renda (IR)</t>
        </is>
      </c>
      <c r="S187">
        <f>IFERROR(CHOOSE(MATCH($R$6,{"Ano Completo","1º Semestre","2º Semestre","1º Trimestre","2º Trimestre","3º Trimestre","4º Trimestre"},0),SUM(T187:AE187),SUM(T187:Y187),SUM(Z187:AE187),SUM(T187:V187),SUM(W187:Y187),SUM(Z187:AB187),SUM(AC187:AE187)),0)</f>
        <v/>
      </c>
      <c r="AG187" t="inlineStr">
        <is>
          <t>Imposto de Renda (IR)</t>
        </is>
      </c>
      <c r="AH187">
        <f>IFERROR(CHOOSE(MATCH($AG$6,{"Ano Completo","1º Semestre","2º Semestre","1º Trimestre","2º Trimestre","3º Trimestre","4º Trimestre"},0),SUM(AI187:AT187),SUM(AI187:AN187),SUM(AO187:AT187),SUM(AI187:AK187),SUM(AL187:AN187),SUM(AO187:AQ187),SUM(AR187:AT187)),0)</f>
        <v/>
      </c>
      <c r="AI187" t="n">
        <v>3660</v>
      </c>
      <c r="AJ187" t="n">
        <v>10445</v>
      </c>
      <c r="AK187" t="n">
        <v>6034</v>
      </c>
      <c r="AL187" t="n">
        <v>3195</v>
      </c>
      <c r="AM187" t="n">
        <v>6960</v>
      </c>
      <c r="AN187" t="n">
        <v>16493</v>
      </c>
      <c r="AO187" t="n">
        <v>14034</v>
      </c>
      <c r="AP187" t="n">
        <v>11412</v>
      </c>
      <c r="AQ187" t="n">
        <v>1796</v>
      </c>
      <c r="AR187" t="n">
        <v>11836</v>
      </c>
      <c r="AS187" t="n">
        <v>1880</v>
      </c>
      <c r="AT187" t="n">
        <v>17899</v>
      </c>
      <c r="AW187" t="inlineStr">
        <is>
          <t>Imposto de Renda (IR)</t>
        </is>
      </c>
      <c r="AX187">
        <f>IFERROR(CHOOSE(MATCH($AW$6,{"Ano Completo","1º Semestre","2º Semestre","1º Trimestre","2º Trimestre","3º Trimestre","4º Trimestre"},0),SUM(AY187:BJ187),SUM(AY187:BD187),SUM(BE187:BJ187),SUM(AY187:BA187),SUM(BB187:BD187),SUM(BE187:BG187),SUM(BH187:BJ187)),0)</f>
        <v/>
      </c>
      <c r="AY187" t="n">
        <v>7109</v>
      </c>
      <c r="AZ187" t="n">
        <v>7818</v>
      </c>
      <c r="BA187" t="n">
        <v>9868</v>
      </c>
      <c r="BB187" t="n">
        <v>7614</v>
      </c>
      <c r="BC187" t="n">
        <v>16329</v>
      </c>
      <c r="BD187" t="n">
        <v>12107</v>
      </c>
      <c r="BE187" t="n">
        <v>15330</v>
      </c>
      <c r="BF187" t="n">
        <v>6482</v>
      </c>
      <c r="BG187" t="n">
        <v>12042</v>
      </c>
      <c r="BH187" t="n">
        <v>19677</v>
      </c>
      <c r="BI187" t="n">
        <v>2768</v>
      </c>
      <c r="BJ187" t="n">
        <v>8686</v>
      </c>
      <c r="BL187" t="inlineStr">
        <is>
          <t>Imposto de Renda (IR)</t>
        </is>
      </c>
      <c r="BM187">
        <f>IFERROR(CHOOSE(MATCH($BL$6,{"Ano Completo","1º Semestre","2º Semestre","1º Trimestre","2º Trimestre","3º Trimestre","4º Trimestre"},0),SUM(BN187:BY187),SUM(BN187:BS187),SUM(BT187:BY187),SUM(BN187:BP187),SUM(BQ187:BS187),SUM(BT187:BV187),SUM(BW187:BY187)),0)</f>
        <v/>
      </c>
      <c r="BN187" t="n">
        <v>3660</v>
      </c>
      <c r="BO187" t="n">
        <v>10445</v>
      </c>
      <c r="BP187" t="n">
        <v>6034</v>
      </c>
      <c r="BQ187" t="n">
        <v>3195</v>
      </c>
      <c r="BR187" t="n">
        <v>6960</v>
      </c>
      <c r="BS187" t="n">
        <v>16493</v>
      </c>
      <c r="BT187" t="n">
        <v>14034</v>
      </c>
      <c r="BU187" t="n">
        <v>11412</v>
      </c>
      <c r="BV187" t="n">
        <v>1796</v>
      </c>
      <c r="BW187" t="n">
        <v>11836</v>
      </c>
      <c r="BX187" t="n">
        <v>1880</v>
      </c>
      <c r="BY187" t="n">
        <v>17899</v>
      </c>
      <c r="CB187" t="inlineStr">
        <is>
          <t>Imposto de Renda (IR)</t>
        </is>
      </c>
      <c r="CC187">
        <f>IFERROR(CHOOSE(MATCH($CB$6,{"Ano Completo","1º Semestre","2º Semestre","1º Trimestre","2º Trimestre","3º Trimestre","4º Trimestre"},0),SUM(CD187:CO187),SUM(CD187:CI187),SUM(CJ187:CO187),SUM(CD187:CF187),SUM(CG187:CI187),SUM(CJ187:CL187),SUM(CM187:CO187)),0)</f>
        <v/>
      </c>
      <c r="CD187" t="n">
        <v>7109</v>
      </c>
      <c r="CE187" t="n">
        <v>7818</v>
      </c>
      <c r="CF187" t="n">
        <v>9868</v>
      </c>
      <c r="CG187" t="n">
        <v>7614</v>
      </c>
      <c r="CH187" t="n">
        <v>16329</v>
      </c>
      <c r="CI187" t="n">
        <v>12107</v>
      </c>
      <c r="CJ187" t="n">
        <v>15330</v>
      </c>
      <c r="CK187" t="n">
        <v>6482</v>
      </c>
      <c r="CL187" t="n">
        <v>12042</v>
      </c>
      <c r="CM187" t="n">
        <v>19677</v>
      </c>
      <c r="CN187" t="n">
        <v>2768</v>
      </c>
      <c r="CO187" t="n">
        <v>8686</v>
      </c>
      <c r="CQ187" t="inlineStr">
        <is>
          <t>Imposto de Renda (IR)</t>
        </is>
      </c>
      <c r="CR187">
        <f>IFERROR(CHOOSE(MATCH($CQ$6,{"Ano Completo","1º Semestre","2º Semestre","1º Trimestre","2º Trimestre","3º Trimestre","4º Trimestre"},0),SUM(CS187:DD187),SUM(CS187:CX187),SUM(CY187:DD187),SUM(CS187:CU187),SUM(CV187:CX187),SUM(CY187:DA187),SUM(DB187:DD187)),0)</f>
        <v/>
      </c>
      <c r="CS187" t="n">
        <v>3660</v>
      </c>
      <c r="CT187" t="n">
        <v>10445</v>
      </c>
      <c r="CU187" t="n">
        <v>6034</v>
      </c>
      <c r="CV187" t="n">
        <v>3195</v>
      </c>
      <c r="CW187" t="n">
        <v>6960</v>
      </c>
      <c r="CX187" t="n">
        <v>16493</v>
      </c>
      <c r="CY187" t="n">
        <v>14034</v>
      </c>
      <c r="CZ187" t="n">
        <v>11412</v>
      </c>
      <c r="DA187" t="n">
        <v>1796</v>
      </c>
      <c r="DB187" t="n">
        <v>11836</v>
      </c>
      <c r="DC187" t="n">
        <v>1880</v>
      </c>
      <c r="DD187" t="n">
        <v>17899</v>
      </c>
      <c r="DG187" t="inlineStr">
        <is>
          <t>Imposto de Renda (IR)</t>
        </is>
      </c>
      <c r="DH187">
        <f>IFERROR(CHOOSE(MATCH($DG$6,{"Ano Completo","1º Semestre","2º Semestre","1º Trimestre","2º Trimestre","3º Trimestre","4º Trimestre"},0),SUM(DI187:DT187),SUM(DI187:DN187),SUM(DO187:DT187),SUM(DI187:DK187),SUM(DL187:DN187),SUM(DO187:DQ187),SUM(DR187:DT187)),0)</f>
        <v/>
      </c>
      <c r="DI187" t="n">
        <v>7109</v>
      </c>
      <c r="DJ187" t="n">
        <v>7818</v>
      </c>
      <c r="DK187" t="n">
        <v>9868</v>
      </c>
      <c r="DL187" t="n">
        <v>7614</v>
      </c>
      <c r="DM187" t="n">
        <v>16329</v>
      </c>
      <c r="DN187" t="n">
        <v>12107</v>
      </c>
      <c r="DO187" t="n">
        <v>15330</v>
      </c>
      <c r="DP187" t="n">
        <v>6482</v>
      </c>
      <c r="DQ187" t="n">
        <v>12042</v>
      </c>
      <c r="DR187" t="n">
        <v>19677</v>
      </c>
      <c r="DS187" t="n">
        <v>2768</v>
      </c>
      <c r="DT187" t="n">
        <v>8686</v>
      </c>
      <c r="DV187" t="inlineStr">
        <is>
          <t>Imposto de Renda (IR)</t>
        </is>
      </c>
      <c r="DW187">
        <f>IFERROR(CHOOSE(MATCH($DV$6,{"Ano Completo","1º Semestre","2º Semestre","1º Trimestre","2º Trimestre","3º Trimestre","4º Trimestre"},0),SUM(DX187:EI187),SUM(DX187:EC187),SUM(ED187:EI187),SUM(DX187:DZ187),SUM(EA187:EC187),SUM(ED187:EF187),SUM(EG187:EI187)),0)</f>
        <v/>
      </c>
      <c r="DX187" t="n">
        <v>3660</v>
      </c>
      <c r="DY187" t="n">
        <v>10445</v>
      </c>
      <c r="DZ187" t="n">
        <v>6034</v>
      </c>
      <c r="EA187" t="n">
        <v>3195</v>
      </c>
      <c r="EB187" t="n">
        <v>6960</v>
      </c>
      <c r="EC187" t="n">
        <v>16493</v>
      </c>
      <c r="ED187" t="n">
        <v>14034</v>
      </c>
      <c r="EE187" t="n">
        <v>11412</v>
      </c>
      <c r="EF187" t="n">
        <v>1796</v>
      </c>
      <c r="EG187" t="n">
        <v>11836</v>
      </c>
      <c r="EH187" t="n">
        <v>1880</v>
      </c>
      <c r="EI187" t="n">
        <v>17899</v>
      </c>
      <c r="EL187" t="inlineStr">
        <is>
          <t>Imposto de Renda (IR)</t>
        </is>
      </c>
      <c r="EM187">
        <f>IFERROR(CHOOSE(MATCH($EL$6,{"Ano Completo","1º Semestre","2º Semestre","1º Trimestre","2º Trimestre","3º Trimestre","4º Trimestre"},0),SUM(EN187:EY187),SUM(EN187:ES187),SUM(ET187:EY187),SUM(EN187:EP187),SUM(EQ187:ES187),SUM(ET187:EV187),SUM(EW187:EY187)),0)</f>
        <v/>
      </c>
      <c r="EN187" t="n">
        <v>7109</v>
      </c>
      <c r="EO187" t="n">
        <v>7818</v>
      </c>
      <c r="EP187" t="n">
        <v>9868</v>
      </c>
      <c r="EQ187" t="n">
        <v>7614</v>
      </c>
      <c r="ER187" t="n">
        <v>16329</v>
      </c>
      <c r="ES187" t="n">
        <v>12107</v>
      </c>
      <c r="ET187" t="n">
        <v>15330</v>
      </c>
      <c r="EU187" t="n">
        <v>6482</v>
      </c>
      <c r="EV187" t="n">
        <v>12042</v>
      </c>
      <c r="EW187" t="n">
        <v>19677</v>
      </c>
      <c r="EX187" t="n">
        <v>2768</v>
      </c>
      <c r="EY187" t="n">
        <v>8686</v>
      </c>
    </row>
    <row r="188">
      <c r="B188" t="inlineStr">
        <is>
          <t>Contribuição Social (CSLL)</t>
        </is>
      </c>
      <c r="C188">
        <f>IFERROR(CHOOSE(MATCH($B$6,{"Ano Completo","1º Semestre","2º Semestre","1º Trimestre","2º Trimestre","3º Trimestre","4º Trimestre"},0),SUM(D188:O188),SUM(D188:I188),SUM(J188:O188),SUM(D188:F188),SUM(G188:I188),SUM(J188:L188),SUM(M188:O188)),0)</f>
        <v/>
      </c>
      <c r="R188" t="inlineStr">
        <is>
          <t>Contribuição Social (CSLL)</t>
        </is>
      </c>
      <c r="S188">
        <f>IFERROR(CHOOSE(MATCH($R$6,{"Ano Completo","1º Semestre","2º Semestre","1º Trimestre","2º Trimestre","3º Trimestre","4º Trimestre"},0),SUM(T188:AE188),SUM(T188:Y188),SUM(Z188:AE188),SUM(T188:V188),SUM(W188:Y188),SUM(Z188:AB188),SUM(AC188:AE188)),0)</f>
        <v/>
      </c>
      <c r="AG188" t="inlineStr">
        <is>
          <t>Contribuição Social (CSLL)</t>
        </is>
      </c>
      <c r="AH188">
        <f>IFERROR(CHOOSE(MATCH($AG$6,{"Ano Completo","1º Semestre","2º Semestre","1º Trimestre","2º Trimestre","3º Trimestre","4º Trimestre"},0),SUM(AI188:AT188),SUM(AI188:AN188),SUM(AO188:AT188),SUM(AI188:AK188),SUM(AL188:AN188),SUM(AO188:AQ188),SUM(AR188:AT188)),0)</f>
        <v/>
      </c>
      <c r="AI188" t="n">
        <v>1882</v>
      </c>
      <c r="AJ188" t="n">
        <v>18458</v>
      </c>
      <c r="AK188" t="n">
        <v>17635</v>
      </c>
      <c r="AL188" t="n">
        <v>17889</v>
      </c>
      <c r="AM188" t="n">
        <v>17894</v>
      </c>
      <c r="AN188" t="n">
        <v>2706</v>
      </c>
      <c r="AO188" t="n">
        <v>6189</v>
      </c>
      <c r="AP188" t="n">
        <v>18561</v>
      </c>
      <c r="AQ188" t="n">
        <v>5675</v>
      </c>
      <c r="AR188" t="n">
        <v>7195</v>
      </c>
      <c r="AS188" t="n">
        <v>12733</v>
      </c>
      <c r="AT188" t="n">
        <v>16222</v>
      </c>
      <c r="AW188" t="inlineStr">
        <is>
          <t>Contribuição Social (CSLL)</t>
        </is>
      </c>
      <c r="AX188">
        <f>IFERROR(CHOOSE(MATCH($AW$6,{"Ano Completo","1º Semestre","2º Semestre","1º Trimestre","2º Trimestre","3º Trimestre","4º Trimestre"},0),SUM(AY188:BJ188),SUM(AY188:BD188),SUM(BE188:BJ188),SUM(AY188:BA188),SUM(BB188:BD188),SUM(BE188:BG188),SUM(BH188:BJ188)),0)</f>
        <v/>
      </c>
      <c r="AY188" t="n">
        <v>10564</v>
      </c>
      <c r="AZ188" t="n">
        <v>11654</v>
      </c>
      <c r="BA188" t="n">
        <v>17426</v>
      </c>
      <c r="BB188" t="n">
        <v>2862</v>
      </c>
      <c r="BC188" t="n">
        <v>5293</v>
      </c>
      <c r="BD188" t="n">
        <v>7267</v>
      </c>
      <c r="BE188" t="n">
        <v>6618</v>
      </c>
      <c r="BF188" t="n">
        <v>13522</v>
      </c>
      <c r="BG188" t="n">
        <v>14920</v>
      </c>
      <c r="BH188" t="n">
        <v>19274</v>
      </c>
      <c r="BI188" t="n">
        <v>6279</v>
      </c>
      <c r="BJ188" t="n">
        <v>12340</v>
      </c>
      <c r="BL188" t="inlineStr">
        <is>
          <t>Contribuição Social (CSLL)</t>
        </is>
      </c>
      <c r="BM188">
        <f>IFERROR(CHOOSE(MATCH($BL$6,{"Ano Completo","1º Semestre","2º Semestre","1º Trimestre","2º Trimestre","3º Trimestre","4º Trimestre"},0),SUM(BN188:BY188),SUM(BN188:BS188),SUM(BT188:BY188),SUM(BN188:BP188),SUM(BQ188:BS188),SUM(BT188:BV188),SUM(BW188:BY188)),0)</f>
        <v/>
      </c>
      <c r="BN188" t="n">
        <v>1882</v>
      </c>
      <c r="BO188" t="n">
        <v>18458</v>
      </c>
      <c r="BP188" t="n">
        <v>17635</v>
      </c>
      <c r="BQ188" t="n">
        <v>17889</v>
      </c>
      <c r="BR188" t="n">
        <v>17894</v>
      </c>
      <c r="BS188" t="n">
        <v>2706</v>
      </c>
      <c r="BT188" t="n">
        <v>6189</v>
      </c>
      <c r="BU188" t="n">
        <v>18561</v>
      </c>
      <c r="BV188" t="n">
        <v>5675</v>
      </c>
      <c r="BW188" t="n">
        <v>7195</v>
      </c>
      <c r="BX188" t="n">
        <v>12733</v>
      </c>
      <c r="BY188" t="n">
        <v>16222</v>
      </c>
      <c r="CB188" t="inlineStr">
        <is>
          <t>Contribuição Social (CSLL)</t>
        </is>
      </c>
      <c r="CC188">
        <f>IFERROR(CHOOSE(MATCH($CB$6,{"Ano Completo","1º Semestre","2º Semestre","1º Trimestre","2º Trimestre","3º Trimestre","4º Trimestre"},0),SUM(CD188:CO188),SUM(CD188:CI188),SUM(CJ188:CO188),SUM(CD188:CF188),SUM(CG188:CI188),SUM(CJ188:CL188),SUM(CM188:CO188)),0)</f>
        <v/>
      </c>
      <c r="CD188" t="n">
        <v>10564</v>
      </c>
      <c r="CE188" t="n">
        <v>11654</v>
      </c>
      <c r="CF188" t="n">
        <v>17426</v>
      </c>
      <c r="CG188" t="n">
        <v>2862</v>
      </c>
      <c r="CH188" t="n">
        <v>5293</v>
      </c>
      <c r="CI188" t="n">
        <v>7267</v>
      </c>
      <c r="CJ188" t="n">
        <v>6618</v>
      </c>
      <c r="CK188" t="n">
        <v>13522</v>
      </c>
      <c r="CL188" t="n">
        <v>14920</v>
      </c>
      <c r="CM188" t="n">
        <v>19274</v>
      </c>
      <c r="CN188" t="n">
        <v>6279</v>
      </c>
      <c r="CO188" t="n">
        <v>12340</v>
      </c>
      <c r="CQ188" t="inlineStr">
        <is>
          <t>Contribuição Social (CSLL)</t>
        </is>
      </c>
      <c r="CR188">
        <f>IFERROR(CHOOSE(MATCH($CQ$6,{"Ano Completo","1º Semestre","2º Semestre","1º Trimestre","2º Trimestre","3º Trimestre","4º Trimestre"},0),SUM(CS188:DD188),SUM(CS188:CX188),SUM(CY188:DD188),SUM(CS188:CU188),SUM(CV188:CX188),SUM(CY188:DA188),SUM(DB188:DD188)),0)</f>
        <v/>
      </c>
      <c r="CS188" t="n">
        <v>1882</v>
      </c>
      <c r="CT188" t="n">
        <v>18458</v>
      </c>
      <c r="CU188" t="n">
        <v>17635</v>
      </c>
      <c r="CV188" t="n">
        <v>17889</v>
      </c>
      <c r="CW188" t="n">
        <v>17894</v>
      </c>
      <c r="CX188" t="n">
        <v>2706</v>
      </c>
      <c r="CY188" t="n">
        <v>6189</v>
      </c>
      <c r="CZ188" t="n">
        <v>18561</v>
      </c>
      <c r="DA188" t="n">
        <v>5675</v>
      </c>
      <c r="DB188" t="n">
        <v>7195</v>
      </c>
      <c r="DC188" t="n">
        <v>12733</v>
      </c>
      <c r="DD188" t="n">
        <v>16222</v>
      </c>
      <c r="DG188" t="inlineStr">
        <is>
          <t>Contribuição Social (CSLL)</t>
        </is>
      </c>
      <c r="DH188">
        <f>IFERROR(CHOOSE(MATCH($DG$6,{"Ano Completo","1º Semestre","2º Semestre","1º Trimestre","2º Trimestre","3º Trimestre","4º Trimestre"},0),SUM(DI188:DT188),SUM(DI188:DN188),SUM(DO188:DT188),SUM(DI188:DK188),SUM(DL188:DN188),SUM(DO188:DQ188),SUM(DR188:DT188)),0)</f>
        <v/>
      </c>
      <c r="DI188" t="n">
        <v>10564</v>
      </c>
      <c r="DJ188" t="n">
        <v>11654</v>
      </c>
      <c r="DK188" t="n">
        <v>17426</v>
      </c>
      <c r="DL188" t="n">
        <v>2862</v>
      </c>
      <c r="DM188" t="n">
        <v>5293</v>
      </c>
      <c r="DN188" t="n">
        <v>7267</v>
      </c>
      <c r="DO188" t="n">
        <v>6618</v>
      </c>
      <c r="DP188" t="n">
        <v>13522</v>
      </c>
      <c r="DQ188" t="n">
        <v>14920</v>
      </c>
      <c r="DR188" t="n">
        <v>19274</v>
      </c>
      <c r="DS188" t="n">
        <v>6279</v>
      </c>
      <c r="DT188" t="n">
        <v>12340</v>
      </c>
      <c r="DV188" t="inlineStr">
        <is>
          <t>Contribuição Social (CSLL)</t>
        </is>
      </c>
      <c r="DW188">
        <f>IFERROR(CHOOSE(MATCH($DV$6,{"Ano Completo","1º Semestre","2º Semestre","1º Trimestre","2º Trimestre","3º Trimestre","4º Trimestre"},0),SUM(DX188:EI188),SUM(DX188:EC188),SUM(ED188:EI188),SUM(DX188:DZ188),SUM(EA188:EC188),SUM(ED188:EF188),SUM(EG188:EI188)),0)</f>
        <v/>
      </c>
      <c r="DX188" t="n">
        <v>1882</v>
      </c>
      <c r="DY188" t="n">
        <v>18458</v>
      </c>
      <c r="DZ188" t="n">
        <v>17635</v>
      </c>
      <c r="EA188" t="n">
        <v>17889</v>
      </c>
      <c r="EB188" t="n">
        <v>17894</v>
      </c>
      <c r="EC188" t="n">
        <v>2706</v>
      </c>
      <c r="ED188" t="n">
        <v>6189</v>
      </c>
      <c r="EE188" t="n">
        <v>18561</v>
      </c>
      <c r="EF188" t="n">
        <v>5675</v>
      </c>
      <c r="EG188" t="n">
        <v>7195</v>
      </c>
      <c r="EH188" t="n">
        <v>12733</v>
      </c>
      <c r="EI188" t="n">
        <v>16222</v>
      </c>
      <c r="EL188" t="inlineStr">
        <is>
          <t>Contribuição Social (CSLL)</t>
        </is>
      </c>
      <c r="EM188">
        <f>IFERROR(CHOOSE(MATCH($EL$6,{"Ano Completo","1º Semestre","2º Semestre","1º Trimestre","2º Trimestre","3º Trimestre","4º Trimestre"},0),SUM(EN188:EY188),SUM(EN188:ES188),SUM(ET188:EY188),SUM(EN188:EP188),SUM(EQ188:ES188),SUM(ET188:EV188),SUM(EW188:EY188)),0)</f>
        <v/>
      </c>
      <c r="EN188" t="n">
        <v>10564</v>
      </c>
      <c r="EO188" t="n">
        <v>11654</v>
      </c>
      <c r="EP188" t="n">
        <v>17426</v>
      </c>
      <c r="EQ188" t="n">
        <v>2862</v>
      </c>
      <c r="ER188" t="n">
        <v>5293</v>
      </c>
      <c r="ES188" t="n">
        <v>7267</v>
      </c>
      <c r="ET188" t="n">
        <v>6618</v>
      </c>
      <c r="EU188" t="n">
        <v>13522</v>
      </c>
      <c r="EV188" t="n">
        <v>14920</v>
      </c>
      <c r="EW188" t="n">
        <v>19274</v>
      </c>
      <c r="EX188" t="n">
        <v>6279</v>
      </c>
      <c r="EY188" t="n">
        <v>12340</v>
      </c>
    </row>
    <row r="189">
      <c r="B189" t="inlineStr">
        <is>
          <t>Impostos e Taxas</t>
        </is>
      </c>
      <c r="C189">
        <f>IFERROR(CHOOSE(MATCH($B$6,{"Ano Completo","1º Semestre","2º Semestre","1º Trimestre","2º Trimestre","3º Trimestre","4º Trimestre"},0),SUM(D189:O189),SUM(D189:I189),SUM(J189:O189),SUM(D189:F189),SUM(G189:I189),SUM(J189:L189),SUM(M189:O189)),0)</f>
        <v/>
      </c>
      <c r="R189" t="inlineStr">
        <is>
          <t>Impostos e Taxas</t>
        </is>
      </c>
      <c r="S189">
        <f>IFERROR(CHOOSE(MATCH($R$6,{"Ano Completo","1º Semestre","2º Semestre","1º Trimestre","2º Trimestre","3º Trimestre","4º Trimestre"},0),SUM(T189:AE189),SUM(T189:Y189),SUM(Z189:AE189),SUM(T189:V189),SUM(W189:Y189),SUM(Z189:AB189),SUM(AC189:AE189)),0)</f>
        <v/>
      </c>
      <c r="AG189" t="inlineStr">
        <is>
          <t>Impostos e Taxas</t>
        </is>
      </c>
      <c r="AH189">
        <f>IFERROR(CHOOSE(MATCH($AG$6,{"Ano Completo","1º Semestre","2º Semestre","1º Trimestre","2º Trimestre","3º Trimestre","4º Trimestre"},0),SUM(AI189:AT189),SUM(AI189:AN189),SUM(AO189:AT189),SUM(AI189:AK189),SUM(AL189:AN189),SUM(AO189:AQ189),SUM(AR189:AT189)),0)</f>
        <v/>
      </c>
      <c r="AI189" t="n">
        <v>1207</v>
      </c>
      <c r="AJ189" t="n">
        <v>2995</v>
      </c>
      <c r="AK189" t="n">
        <v>13318</v>
      </c>
      <c r="AL189" t="n">
        <v>19638</v>
      </c>
      <c r="AM189" t="n">
        <v>4636</v>
      </c>
      <c r="AN189" t="n">
        <v>8531</v>
      </c>
      <c r="AO189" t="n">
        <v>3395</v>
      </c>
      <c r="AP189" t="n">
        <v>1703</v>
      </c>
      <c r="AQ189" t="n">
        <v>18544</v>
      </c>
      <c r="AR189" t="n">
        <v>18820</v>
      </c>
      <c r="AS189" t="n">
        <v>10961</v>
      </c>
      <c r="AT189" t="n">
        <v>8710</v>
      </c>
      <c r="AW189" t="inlineStr">
        <is>
          <t>Impostos e Taxas</t>
        </is>
      </c>
      <c r="AX189">
        <f>IFERROR(CHOOSE(MATCH($AW$6,{"Ano Completo","1º Semestre","2º Semestre","1º Trimestre","2º Trimestre","3º Trimestre","4º Trimestre"},0),SUM(AY189:BJ189),SUM(AY189:BD189),SUM(BE189:BJ189),SUM(AY189:BA189),SUM(BB189:BD189),SUM(BE189:BG189),SUM(BH189:BJ189)),0)</f>
        <v/>
      </c>
      <c r="AY189" t="n">
        <v>2259</v>
      </c>
      <c r="AZ189" t="n">
        <v>19728</v>
      </c>
      <c r="BA189" t="n">
        <v>10073</v>
      </c>
      <c r="BB189" t="n">
        <v>19870</v>
      </c>
      <c r="BC189" t="n">
        <v>16588</v>
      </c>
      <c r="BD189" t="n">
        <v>7644</v>
      </c>
      <c r="BE189" t="n">
        <v>16538</v>
      </c>
      <c r="BF189" t="n">
        <v>9755</v>
      </c>
      <c r="BG189" t="n">
        <v>5569</v>
      </c>
      <c r="BH189" t="n">
        <v>4888</v>
      </c>
      <c r="BI189" t="n">
        <v>3830</v>
      </c>
      <c r="BJ189" t="n">
        <v>9593</v>
      </c>
      <c r="BL189" t="inlineStr">
        <is>
          <t>Impostos e Taxas</t>
        </is>
      </c>
      <c r="BM189">
        <f>IFERROR(CHOOSE(MATCH($BL$6,{"Ano Completo","1º Semestre","2º Semestre","1º Trimestre","2º Trimestre","3º Trimestre","4º Trimestre"},0),SUM(BN189:BY189),SUM(BN189:BS189),SUM(BT189:BY189),SUM(BN189:BP189),SUM(BQ189:BS189),SUM(BT189:BV189),SUM(BW189:BY189)),0)</f>
        <v/>
      </c>
      <c r="BN189" t="n">
        <v>1207</v>
      </c>
      <c r="BO189" t="n">
        <v>2995</v>
      </c>
      <c r="BP189" t="n">
        <v>13318</v>
      </c>
      <c r="BQ189" t="n">
        <v>19638</v>
      </c>
      <c r="BR189" t="n">
        <v>4636</v>
      </c>
      <c r="BS189" t="n">
        <v>8531</v>
      </c>
      <c r="BT189" t="n">
        <v>3395</v>
      </c>
      <c r="BU189" t="n">
        <v>1703</v>
      </c>
      <c r="BV189" t="n">
        <v>18544</v>
      </c>
      <c r="BW189" t="n">
        <v>18820</v>
      </c>
      <c r="BX189" t="n">
        <v>10961</v>
      </c>
      <c r="BY189" t="n">
        <v>8710</v>
      </c>
      <c r="CB189" t="inlineStr">
        <is>
          <t>Impostos e Taxas</t>
        </is>
      </c>
      <c r="CC189">
        <f>IFERROR(CHOOSE(MATCH($CB$6,{"Ano Completo","1º Semestre","2º Semestre","1º Trimestre","2º Trimestre","3º Trimestre","4º Trimestre"},0),SUM(CD189:CO189),SUM(CD189:CI189),SUM(CJ189:CO189),SUM(CD189:CF189),SUM(CG189:CI189),SUM(CJ189:CL189),SUM(CM189:CO189)),0)</f>
        <v/>
      </c>
      <c r="CD189" t="n">
        <v>2259</v>
      </c>
      <c r="CE189" t="n">
        <v>19728</v>
      </c>
      <c r="CF189" t="n">
        <v>10073</v>
      </c>
      <c r="CG189" t="n">
        <v>19870</v>
      </c>
      <c r="CH189" t="n">
        <v>16588</v>
      </c>
      <c r="CI189" t="n">
        <v>7644</v>
      </c>
      <c r="CJ189" t="n">
        <v>16538</v>
      </c>
      <c r="CK189" t="n">
        <v>9755</v>
      </c>
      <c r="CL189" t="n">
        <v>5569</v>
      </c>
      <c r="CM189" t="n">
        <v>4888</v>
      </c>
      <c r="CN189" t="n">
        <v>3830</v>
      </c>
      <c r="CO189" t="n">
        <v>9593</v>
      </c>
      <c r="CQ189" t="inlineStr">
        <is>
          <t>Impostos e Taxas</t>
        </is>
      </c>
      <c r="CR189">
        <f>IFERROR(CHOOSE(MATCH($CQ$6,{"Ano Completo","1º Semestre","2º Semestre","1º Trimestre","2º Trimestre","3º Trimestre","4º Trimestre"},0),SUM(CS189:DD189),SUM(CS189:CX189),SUM(CY189:DD189),SUM(CS189:CU189),SUM(CV189:CX189),SUM(CY189:DA189),SUM(DB189:DD189)),0)</f>
        <v/>
      </c>
      <c r="CS189" t="n">
        <v>1207</v>
      </c>
      <c r="CT189" t="n">
        <v>2995</v>
      </c>
      <c r="CU189" t="n">
        <v>13318</v>
      </c>
      <c r="CV189" t="n">
        <v>19638</v>
      </c>
      <c r="CW189" t="n">
        <v>4636</v>
      </c>
      <c r="CX189" t="n">
        <v>8531</v>
      </c>
      <c r="CY189" t="n">
        <v>3395</v>
      </c>
      <c r="CZ189" t="n">
        <v>1703</v>
      </c>
      <c r="DA189" t="n">
        <v>18544</v>
      </c>
      <c r="DB189" t="n">
        <v>18820</v>
      </c>
      <c r="DC189" t="n">
        <v>10961</v>
      </c>
      <c r="DD189" t="n">
        <v>8710</v>
      </c>
      <c r="DG189" t="inlineStr">
        <is>
          <t>Impostos e Taxas</t>
        </is>
      </c>
      <c r="DH189">
        <f>IFERROR(CHOOSE(MATCH($DG$6,{"Ano Completo","1º Semestre","2º Semestre","1º Trimestre","2º Trimestre","3º Trimestre","4º Trimestre"},0),SUM(DI189:DT189),SUM(DI189:DN189),SUM(DO189:DT189),SUM(DI189:DK189),SUM(DL189:DN189),SUM(DO189:DQ189),SUM(DR189:DT189)),0)</f>
        <v/>
      </c>
      <c r="DI189" t="n">
        <v>2259</v>
      </c>
      <c r="DJ189" t="n">
        <v>19728</v>
      </c>
      <c r="DK189" t="n">
        <v>10073</v>
      </c>
      <c r="DL189" t="n">
        <v>19870</v>
      </c>
      <c r="DM189" t="n">
        <v>16588</v>
      </c>
      <c r="DN189" t="n">
        <v>7644</v>
      </c>
      <c r="DO189" t="n">
        <v>16538</v>
      </c>
      <c r="DP189" t="n">
        <v>9755</v>
      </c>
      <c r="DQ189" t="n">
        <v>5569</v>
      </c>
      <c r="DR189" t="n">
        <v>4888</v>
      </c>
      <c r="DS189" t="n">
        <v>3830</v>
      </c>
      <c r="DT189" t="n">
        <v>9593</v>
      </c>
      <c r="DV189" t="inlineStr">
        <is>
          <t>Impostos e Taxas</t>
        </is>
      </c>
      <c r="DW189">
        <f>IFERROR(CHOOSE(MATCH($DV$6,{"Ano Completo","1º Semestre","2º Semestre","1º Trimestre","2º Trimestre","3º Trimestre","4º Trimestre"},0),SUM(DX189:EI189),SUM(DX189:EC189),SUM(ED189:EI189),SUM(DX189:DZ189),SUM(EA189:EC189),SUM(ED189:EF189),SUM(EG189:EI189)),0)</f>
        <v/>
      </c>
      <c r="DX189" t="n">
        <v>1207</v>
      </c>
      <c r="DY189" t="n">
        <v>2995</v>
      </c>
      <c r="DZ189" t="n">
        <v>13318</v>
      </c>
      <c r="EA189" t="n">
        <v>19638</v>
      </c>
      <c r="EB189" t="n">
        <v>4636</v>
      </c>
      <c r="EC189" t="n">
        <v>8531</v>
      </c>
      <c r="ED189" t="n">
        <v>3395</v>
      </c>
      <c r="EE189" t="n">
        <v>1703</v>
      </c>
      <c r="EF189" t="n">
        <v>18544</v>
      </c>
      <c r="EG189" t="n">
        <v>18820</v>
      </c>
      <c r="EH189" t="n">
        <v>10961</v>
      </c>
      <c r="EI189" t="n">
        <v>8710</v>
      </c>
      <c r="EL189" t="inlineStr">
        <is>
          <t>Impostos e Taxas</t>
        </is>
      </c>
      <c r="EM189">
        <f>IFERROR(CHOOSE(MATCH($EL$6,{"Ano Completo","1º Semestre","2º Semestre","1º Trimestre","2º Trimestre","3º Trimestre","4º Trimestre"},0),SUM(EN189:EY189),SUM(EN189:ES189),SUM(ET189:EY189),SUM(EN189:EP189),SUM(EQ189:ES189),SUM(ET189:EV189),SUM(EW189:EY189)),0)</f>
        <v/>
      </c>
      <c r="EN189" t="n">
        <v>2259</v>
      </c>
      <c r="EO189" t="n">
        <v>19728</v>
      </c>
      <c r="EP189" t="n">
        <v>10073</v>
      </c>
      <c r="EQ189" t="n">
        <v>19870</v>
      </c>
      <c r="ER189" t="n">
        <v>16588</v>
      </c>
      <c r="ES189" t="n">
        <v>7644</v>
      </c>
      <c r="ET189" t="n">
        <v>16538</v>
      </c>
      <c r="EU189" t="n">
        <v>9755</v>
      </c>
      <c r="EV189" t="n">
        <v>5569</v>
      </c>
      <c r="EW189" t="n">
        <v>4888</v>
      </c>
      <c r="EX189" t="n">
        <v>3830</v>
      </c>
      <c r="EY189" t="n">
        <v>9593</v>
      </c>
    </row>
    <row r="192">
      <c r="B192" t="inlineStr">
        <is>
          <t>Margem de Lucro</t>
        </is>
      </c>
      <c r="C192">
        <f>IFERROR(CHOOSE(MATCH($B$6,{"Ano Completo","1º Semestre","2º Semestre","1º Trimestre","2º Trimestre","3º Trimestre","4º Trimestre"},0),SUM(D192:O192),SUM(D192:I192),SUM(J192:O192),SUM(D192:F192),SUM(G192:I192),SUM(J192:L192),SUM(M192:O192)),0)</f>
        <v/>
      </c>
      <c r="R192" t="inlineStr">
        <is>
          <t>Margem de Lucro</t>
        </is>
      </c>
      <c r="S192">
        <f>IFERROR(CHOOSE(MATCH($R$6,{"Ano Completo","1º Semestre","2º Semestre","1º Trimestre","2º Trimestre","3º Trimestre","4º Trimestre"},0),SUM(T192:AE192),SUM(T192:Y192),SUM(Z192:AE192),SUM(T192:V192),SUM(W192:Y192),SUM(Z192:AB192),SUM(AC192:AE192)),0)</f>
        <v/>
      </c>
      <c r="AG192" t="inlineStr">
        <is>
          <t>Margem de Lucro</t>
        </is>
      </c>
      <c r="AH192">
        <f>IFERROR(CHOOSE(MATCH($AG$6,{"Ano Completo","1º Semestre","2º Semestre","1º Trimestre","2º Trimestre","3º Trimestre","4º Trimestre"},0),SUM(AI192:AT192),SUM(AI192:AN192),SUM(AO192:AT192),SUM(AI192:AK192),SUM(AL192:AN192),SUM(AO192:AQ192),SUM(AR192:AT192)),0)</f>
        <v/>
      </c>
      <c r="AW192" t="inlineStr">
        <is>
          <t>Margem de Lucro</t>
        </is>
      </c>
      <c r="AX192">
        <f>IFERROR(CHOOSE(MATCH($AW$6,{"Ano Completo","1º Semestre","2º Semestre","1º Trimestre","2º Trimestre","3º Trimestre","4º Trimestre"},0),SUM(AY192:BJ192),SUM(AY192:BD192),SUM(BE192:BJ192),SUM(AY192:BA192),SUM(BB192:BD192),SUM(BE192:BG192),SUM(BH192:BJ192)),0)</f>
        <v/>
      </c>
      <c r="BL192" t="inlineStr">
        <is>
          <t>Margem de Lucro</t>
        </is>
      </c>
      <c r="BM192">
        <f>IFERROR(CHOOSE(MATCH($BL$6,{"Ano Completo","1º Semestre","2º Semestre","1º Trimestre","2º Trimestre","3º Trimestre","4º Trimestre"},0),SUM(BN192:BY192),SUM(BN192:BS192),SUM(BT192:BY192),SUM(BN192:BP192),SUM(BQ192:BS192),SUM(BT192:BV192),SUM(BW192:BY192)),0)</f>
        <v/>
      </c>
      <c r="CB192" t="inlineStr">
        <is>
          <t>Margem de Lucro</t>
        </is>
      </c>
      <c r="CC192">
        <f>IFERROR(CHOOSE(MATCH($CB$6,{"Ano Completo","1º Semestre","2º Semestre","1º Trimestre","2º Trimestre","3º Trimestre","4º Trimestre"},0),SUM(CD192:CO192),SUM(CD192:CI192),SUM(CJ192:CO192),SUM(CD192:CF192),SUM(CG192:CI192),SUM(CJ192:CL192),SUM(CM192:CO192)),0)</f>
        <v/>
      </c>
      <c r="CQ192" t="inlineStr">
        <is>
          <t>Margem de Lucro</t>
        </is>
      </c>
      <c r="CR192">
        <f>IFERROR(CHOOSE(MATCH($CQ$6,{"Ano Completo","1º Semestre","2º Semestre","1º Trimestre","2º Trimestre","3º Trimestre","4º Trimestre"},0),SUM(CS192:DD192),SUM(CS192:CX192),SUM(CY192:DD192),SUM(CS192:CU192),SUM(CV192:CX192),SUM(CY192:DA192),SUM(DB192:DD192)),0)</f>
        <v/>
      </c>
      <c r="DG192" t="inlineStr">
        <is>
          <t>Margem de Lucro</t>
        </is>
      </c>
      <c r="DH192">
        <f>IFERROR(CHOOSE(MATCH($DG$6,{"Ano Completo","1º Semestre","2º Semestre","1º Trimestre","2º Trimestre","3º Trimestre","4º Trimestre"},0),SUM(DI192:DT192),SUM(DI192:DN192),SUM(DO192:DT192),SUM(DI192:DK192),SUM(DL192:DN192),SUM(DO192:DQ192),SUM(DR192:DT192)),0)</f>
        <v/>
      </c>
      <c r="DV192" t="inlineStr">
        <is>
          <t>Margem de Lucro</t>
        </is>
      </c>
      <c r="DW192">
        <f>IFERROR(CHOOSE(MATCH($DV$6,{"Ano Completo","1º Semestre","2º Semestre","1º Trimestre","2º Trimestre","3º Trimestre","4º Trimestre"},0),SUM(DX192:EI192),SUM(DX192:EC192),SUM(ED192:EI192),SUM(DX192:DZ192),SUM(EA192:EC192),SUM(ED192:EF192),SUM(EG192:EI192)),0)</f>
        <v/>
      </c>
      <c r="EL192" t="inlineStr">
        <is>
          <t>Margem de Lucro</t>
        </is>
      </c>
      <c r="EM192">
        <f>IFERROR(CHOOSE(MATCH($EL$6,{"Ano Completo","1º Semestre","2º Semestre","1º Trimestre","2º Trimestre","3º Trimestre","4º Trimestre"},0),SUM(EN192:EY192),SUM(EN192:ES192),SUM(ET192:EY192),SUM(EN192:EP192),SUM(EQ192:ES192),SUM(ET192:EV192),SUM(EW192:EY192)),0)</f>
        <v/>
      </c>
    </row>
  </sheetData>
  <dataValidations count="10">
    <dataValidation sqref="B6" showDropDown="0" showInputMessage="0" showErrorMessage="1" allowBlank="0" errorTitle="Período inválido" error="Selecione um período da lista." type="list">
      <formula1>"Ano Completo,1º Semestre,2º Semestre,1º Trimestre,2º Trimestre,3º Trimestre,4º Trimestre"</formula1>
    </dataValidation>
    <dataValidation sqref="R6" showDropDown="0" showInputMessage="0" showErrorMessage="1" allowBlank="0" errorTitle="Período inválido" error="Selecione um período da lista." type="list">
      <formula1>"Ano Completo,1º Semestre,2º Semestre,1º Trimestre,2º Trimestre,3º Trimestre,4º Trimestre"</formula1>
    </dataValidation>
    <dataValidation sqref="AG6" showDropDown="0" showInputMessage="0" showErrorMessage="1" allowBlank="0" errorTitle="Período inválido" error="Selecione um período da lista." type="list">
      <formula1>"Ano Completo,1º Semestre,2º Semestre,1º Trimestre,2º Trimestre,3º Trimestre,4º Trimestre"</formula1>
    </dataValidation>
    <dataValidation sqref="AW6" showDropDown="0" showInputMessage="0" showErrorMessage="1" allowBlank="0" errorTitle="Período inválido" error="Selecione um período da lista." type="list">
      <formula1>"Ano Completo,1º Semestre,2º Semestre,1º Trimestre,2º Trimestre,3º Trimestre,4º Trimestre"</formula1>
    </dataValidation>
    <dataValidation sqref="BL6" showDropDown="0" showInputMessage="0" showErrorMessage="1" allowBlank="0" errorTitle="Período inválido" error="Selecione um período da lista." type="list">
      <formula1>"Ano Completo,1º Semestre,2º Semestre,1º Trimestre,2º Trimestre,3º Trimestre,4º Trimestre"</formula1>
    </dataValidation>
    <dataValidation sqref="CB6" showDropDown="0" showInputMessage="0" showErrorMessage="1" allowBlank="0" errorTitle="Período inválido" error="Selecione um período da lista." type="list">
      <formula1>"Ano Completo,1º Semestre,2º Semestre,1º Trimestre,2º Trimestre,3º Trimestre,4º Trimestre"</formula1>
    </dataValidation>
    <dataValidation sqref="CQ6" showDropDown="0" showInputMessage="0" showErrorMessage="1" allowBlank="0" errorTitle="Período inválido" error="Selecione um período da lista." type="list">
      <formula1>"Ano Completo,1º Semestre,2º Semestre,1º Trimestre,2º Trimestre,3º Trimestre,4º Trimestre"</formula1>
    </dataValidation>
    <dataValidation sqref="DG6" showDropDown="0" showInputMessage="0" showErrorMessage="1" allowBlank="0" errorTitle="Período inválido" error="Selecione um período da lista." type="list">
      <formula1>"Ano Completo,1º Semestre,2º Semestre,1º Trimestre,2º Trimestre,3º Trimestre,4º Trimestre"</formula1>
    </dataValidation>
    <dataValidation sqref="DV6" showDropDown="0" showInputMessage="0" showErrorMessage="1" allowBlank="0" errorTitle="Período inválido" error="Selecione um período da lista." type="list">
      <formula1>"Ano Completo,1º Semestre,2º Semestre,1º Trimestre,2º Trimestre,3º Trimestre,4º Trimestre"</formula1>
    </dataValidation>
    <dataValidation sqref="EL6" showDropDown="0" showInputMessage="0" showErrorMessage="1" allowBlank="0" errorTitle="Período inválido" error="Selecione um período da lista." type="list">
      <formula1>"Ano Completo,1º Semestre,2º Semestre,1º Trimestre,2º Trimestre,3º Trimestre,4º Trimestre"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Artur C. Nasciutti</dc:creator>
  <dcterms:created xsi:type="dcterms:W3CDTF">2015-06-05T18:19:34Z</dcterms:created>
  <dcterms:modified xsi:type="dcterms:W3CDTF">2026-05-27T03:56:42Z</dcterms:modified>
  <cp:lastModifiedBy>Artur C. Nasciutti</cp:lastModifiedBy>
</cp:coreProperties>
</file>